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592001ec4fca9/Desktop/"/>
    </mc:Choice>
  </mc:AlternateContent>
  <xr:revisionPtr revIDLastSave="402" documentId="8_{3A217140-803A-4528-A08C-42FA2EF5D335}" xr6:coauthVersionLast="47" xr6:coauthVersionMax="47" xr10:uidLastSave="{0B5D357F-7547-4958-99B3-0DB5E548B62E}"/>
  <bookViews>
    <workbookView minimized="1" xWindow="11808" yWindow="1368" windowWidth="11232" windowHeight="10872" activeTab="1" xr2:uid="{197C2801-B5F2-4EDC-AEB8-1A931CBE61E0}"/>
  </bookViews>
  <sheets>
    <sheet name="WACC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1" l="1"/>
  <c r="K38" i="1"/>
  <c r="K40" i="1" s="1"/>
  <c r="C18" i="2" s="1"/>
  <c r="C32" i="1"/>
  <c r="C31" i="1"/>
  <c r="C33" i="1" s="1"/>
  <c r="D32" i="1" s="1"/>
  <c r="L6" i="2"/>
  <c r="L7" i="2"/>
  <c r="L8" i="2"/>
  <c r="L9" i="2"/>
  <c r="L10" i="2"/>
  <c r="L11" i="2"/>
  <c r="L12" i="2"/>
  <c r="L13" i="2"/>
  <c r="L14" i="2"/>
  <c r="L15" i="2"/>
  <c r="L5" i="2"/>
  <c r="K11" i="2"/>
  <c r="K12" i="2"/>
  <c r="K13" i="2"/>
  <c r="K14" i="2"/>
  <c r="K15" i="2"/>
  <c r="K10" i="2"/>
  <c r="K9" i="2"/>
  <c r="K8" i="2"/>
  <c r="K7" i="2"/>
  <c r="K6" i="2"/>
  <c r="K5" i="2"/>
  <c r="C17" i="2"/>
  <c r="J6" i="2"/>
  <c r="J7" i="2"/>
  <c r="J8" i="2"/>
  <c r="J9" i="2"/>
  <c r="J10" i="2"/>
  <c r="J11" i="2"/>
  <c r="J12" i="2"/>
  <c r="J13" i="2"/>
  <c r="J14" i="2"/>
  <c r="J15" i="2"/>
  <c r="J5" i="2"/>
  <c r="I7" i="2"/>
  <c r="I8" i="2"/>
  <c r="I9" i="2"/>
  <c r="I10" i="2"/>
  <c r="I11" i="2"/>
  <c r="I12" i="2"/>
  <c r="I13" i="2"/>
  <c r="I14" i="2"/>
  <c r="I15" i="2"/>
  <c r="I6" i="2"/>
  <c r="I5" i="2"/>
  <c r="H5" i="2"/>
  <c r="H6" i="2"/>
  <c r="H7" i="2"/>
  <c r="H8" i="2"/>
  <c r="H9" i="2"/>
  <c r="H10" i="2"/>
  <c r="H11" i="2"/>
  <c r="H12" i="2"/>
  <c r="H13" i="2"/>
  <c r="H14" i="2"/>
  <c r="H15" i="2"/>
  <c r="H4" i="2"/>
  <c r="G6" i="2"/>
  <c r="G7" i="2"/>
  <c r="G8" i="2" s="1"/>
  <c r="G9" i="2" s="1"/>
  <c r="G10" i="2" s="1"/>
  <c r="G11" i="2" s="1"/>
  <c r="G12" i="2" s="1"/>
  <c r="G13" i="2" s="1"/>
  <c r="G14" i="2" s="1"/>
  <c r="G15" i="2" s="1"/>
  <c r="G5" i="2"/>
  <c r="G4" i="2"/>
  <c r="F5" i="2"/>
  <c r="F6" i="2"/>
  <c r="F7" i="2"/>
  <c r="F8" i="2"/>
  <c r="F9" i="2"/>
  <c r="F10" i="2"/>
  <c r="F11" i="2"/>
  <c r="F12" i="2"/>
  <c r="F13" i="2"/>
  <c r="F14" i="2"/>
  <c r="F15" i="2"/>
  <c r="F4" i="2"/>
  <c r="E4" i="2"/>
  <c r="D15" i="2"/>
  <c r="D14" i="2"/>
  <c r="D11" i="2"/>
  <c r="D12" i="2"/>
  <c r="D13" i="2" s="1"/>
  <c r="D10" i="2"/>
  <c r="D6" i="2"/>
  <c r="D7" i="2"/>
  <c r="D8" i="2" s="1"/>
  <c r="D9" i="2" s="1"/>
  <c r="D5" i="2"/>
  <c r="K24" i="1"/>
  <c r="E31" i="1"/>
  <c r="H10" i="1"/>
  <c r="K10" i="1" s="1"/>
  <c r="K32" i="1"/>
  <c r="E24" i="1"/>
  <c r="J38" i="1" s="1"/>
  <c r="J16" i="1"/>
  <c r="G17" i="1"/>
  <c r="G16" i="1"/>
  <c r="I11" i="1"/>
  <c r="I12" i="1"/>
  <c r="I13" i="1"/>
  <c r="I14" i="1"/>
  <c r="J17" i="1" s="1"/>
  <c r="I10" i="1"/>
  <c r="H11" i="1"/>
  <c r="K11" i="1" s="1"/>
  <c r="H12" i="1"/>
  <c r="K12" i="1" s="1"/>
  <c r="H13" i="1"/>
  <c r="K13" i="1" s="1"/>
  <c r="H14" i="1"/>
  <c r="K14" i="1" s="1"/>
  <c r="M8" i="2" l="1"/>
  <c r="M13" i="2"/>
  <c r="M7" i="2"/>
  <c r="M5" i="2"/>
  <c r="C21" i="2"/>
  <c r="C22" i="2" s="1"/>
  <c r="M12" i="2"/>
  <c r="M10" i="2"/>
  <c r="M9" i="2"/>
  <c r="M6" i="2"/>
  <c r="M14" i="2"/>
  <c r="M11" i="2"/>
  <c r="I17" i="1"/>
  <c r="D33" i="1"/>
  <c r="E33" i="1" s="1"/>
  <c r="E32" i="1" s="1"/>
  <c r="I16" i="1"/>
  <c r="K17" i="1"/>
  <c r="K30" i="1" s="1"/>
  <c r="H17" i="1"/>
  <c r="H16" i="1"/>
  <c r="K16" i="1"/>
  <c r="E35" i="1"/>
  <c r="K31" i="1" s="1"/>
  <c r="D31" i="1"/>
  <c r="D35" i="1" s="1"/>
  <c r="C23" i="2" l="1"/>
  <c r="C26" i="2" s="1"/>
  <c r="C28" i="2" s="1"/>
  <c r="K33" i="1"/>
  <c r="K25" i="1" s="1"/>
  <c r="J39" i="1" s="1"/>
</calcChain>
</file>

<file path=xl/sharedStrings.xml><?xml version="1.0" encoding="utf-8"?>
<sst xmlns="http://schemas.openxmlformats.org/spreadsheetml/2006/main" count="97" uniqueCount="82">
  <si>
    <t>Weighted Average Cost of Capital</t>
  </si>
  <si>
    <t>All Figures are in INR unless stated otherwise.</t>
  </si>
  <si>
    <t xml:space="preserve">Peer Comps </t>
  </si>
  <si>
    <t>Name of the Comp</t>
  </si>
  <si>
    <t>Country</t>
  </si>
  <si>
    <t>Total Debt</t>
  </si>
  <si>
    <t>Total Equity</t>
  </si>
  <si>
    <t>Tax Rate</t>
  </si>
  <si>
    <r>
      <t>Tax Rate</t>
    </r>
    <r>
      <rPr>
        <vertAlign val="superscript"/>
        <sz val="11"/>
        <color theme="1"/>
        <rFont val="Calibri"/>
        <family val="2"/>
      </rPr>
      <t>1</t>
    </r>
  </si>
  <si>
    <t>Debt/</t>
  </si>
  <si>
    <t>Equity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</si>
  <si>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</si>
  <si>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</si>
  <si>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</si>
  <si>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</si>
  <si>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</si>
  <si>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</si>
  <si>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</si>
  <si>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</si>
  <si>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</si>
  <si>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Pre-Tax Cost of Debt</t>
  </si>
  <si>
    <t>Post Tax Cost of Debt</t>
  </si>
  <si>
    <t>Cost of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</si>
  <si>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</si>
  <si>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</si>
  <si>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</si>
  <si>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</si>
  <si>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</si>
  <si>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Current</t>
  </si>
  <si>
    <t>Target</t>
  </si>
  <si>
    <t>Market Capitalization</t>
  </si>
  <si>
    <t>Total Capital</t>
  </si>
  <si>
    <t>Comps Median Unlevered Beta</t>
  </si>
  <si>
    <t>Target Debt/Equity</t>
  </si>
  <si>
    <t>Debt/Equity</t>
  </si>
  <si>
    <t>Debt</t>
  </si>
  <si>
    <t>Total Cost</t>
  </si>
  <si>
    <t>Total Weight</t>
  </si>
  <si>
    <t>Notes:</t>
  </si>
  <si>
    <t>1. Tax Rate considered as Marginal Tax Rate for the country</t>
  </si>
  <si>
    <t>2. Levered Beta is based on 5 year monthly data</t>
  </si>
  <si>
    <t>3. Unlevered Beta = Levered Beta/(1+(1-Tax Rate)*(Debt/Equity))</t>
  </si>
  <si>
    <t>4. Levered Beta = Unlevered Beta*(1+(1-Tax Rate)*(Debt/Equity))</t>
  </si>
  <si>
    <t>Rs Cr.</t>
  </si>
  <si>
    <t>Hindustan Aeronautics</t>
  </si>
  <si>
    <t>Bharat Electronics</t>
  </si>
  <si>
    <t>Bharat Dynamics</t>
  </si>
  <si>
    <t>Garden Reach</t>
  </si>
  <si>
    <t>Data Pattern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</si>
  <si>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</si>
  <si>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</si>
  <si>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</si>
  <si>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</si>
  <si>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</si>
  <si>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</si>
  <si>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</si>
  <si>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</si>
  <si>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</si>
  <si>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</si>
  <si>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Revenue</t>
  </si>
  <si>
    <r>
      <t>Growth Rate</t>
    </r>
    <r>
      <rPr>
        <vertAlign val="superscript"/>
        <sz val="11"/>
        <color theme="1"/>
        <rFont val="Calibri"/>
        <family val="2"/>
      </rPr>
      <t>1</t>
    </r>
  </si>
  <si>
    <t>Year 0</t>
  </si>
  <si>
    <r>
      <t xml:space="preserve">Forecasting </t>
    </r>
    <r>
      <rPr>
        <i/>
        <sz val="11"/>
        <color theme="1"/>
        <rFont val="Calibri"/>
        <family val="2"/>
      </rPr>
      <t>(All figures are in INR (crores), unless stated otherwise)</t>
    </r>
  </si>
  <si>
    <t>Terminal Year</t>
  </si>
  <si>
    <t>Terminal Growth Rate</t>
  </si>
  <si>
    <t>WACC</t>
  </si>
  <si>
    <t>EBIT Margin</t>
  </si>
  <si>
    <t>EBIT</t>
  </si>
  <si>
    <t>NOPAT</t>
  </si>
  <si>
    <t>Depreciation</t>
  </si>
  <si>
    <t>Capex</t>
  </si>
  <si>
    <t>ΔWCt​=1%×(Revenuet​−Revenuet−1​)</t>
  </si>
  <si>
    <t>Change in Working Capital</t>
  </si>
  <si>
    <t>FCFF</t>
  </si>
  <si>
    <t>Present Value of FCFF</t>
  </si>
  <si>
    <t>Terminal Value</t>
  </si>
  <si>
    <t>Present Value of Terminal Value</t>
  </si>
  <si>
    <t>Enterprise Value</t>
  </si>
  <si>
    <t>Cash &amp; Cash Equivalents</t>
  </si>
  <si>
    <t>Equity Value</t>
  </si>
  <si>
    <t>No. of Outstanding Shares</t>
  </si>
  <si>
    <t>Intrinsic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</si>
</sst>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0" fontId="0" fillId="0" borderId="0" xfId="1" applyNumberFormat="1" applyFont="1"/>
    <xf numFmtId="10" fontId="0" fillId="3" borderId="0" xfId="1" applyNumberFormat="1" applyFont="1" applyFill="1"/>
    <xf numFmtId="2" fontId="6" fillId="0" borderId="0" xfId="0" applyNumberFormat="1" applyFont="1" applyAlignment="1">
      <alignment horizontal="right"/>
    </xf>
    <xf numFmtId="2" fontId="0" fillId="0" borderId="0" xfId="0" applyNumberFormat="1"/>
    <xf numFmtId="2" fontId="0" fillId="3" borderId="0" xfId="0" applyNumberFormat="1" applyFill="1"/>
    <xf numFmtId="10" fontId="6" fillId="0" borderId="0" xfId="1" applyNumberFormat="1" applyFont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2" xfId="0" applyBorder="1"/>
    <xf numFmtId="10" fontId="0" fillId="0" borderId="1" xfId="0" applyNumberForma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2" fontId="0" fillId="0" borderId="1" xfId="1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0" fontId="0" fillId="0" borderId="0" xfId="0" applyNumberFormat="1"/>
    <xf numFmtId="9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2" fillId="0" borderId="2" xfId="0" applyFont="1" applyBorder="1"/>
    <xf numFmtId="10" fontId="0" fillId="3" borderId="3" xfId="0" applyNumberFormat="1" applyFill="1" applyBorder="1"/>
    <xf numFmtId="0" fontId="0" fillId="0" borderId="4" xfId="0" applyBorder="1"/>
    <xf numFmtId="10" fontId="6" fillId="0" borderId="0" xfId="0" applyNumberFormat="1" applyFont="1"/>
    <xf numFmtId="9" fontId="6" fillId="0" borderId="0" xfId="0" applyNumberFormat="1" applyFont="1"/>
    <xf numFmtId="10" fontId="0" fillId="0" borderId="3" xfId="1" applyNumberFormat="1" applyFont="1" applyBorder="1"/>
    <xf numFmtId="10" fontId="0" fillId="3" borderId="0" xfId="0" applyNumberFormat="1" applyFill="1"/>
    <xf numFmtId="9" fontId="0" fillId="0" borderId="2" xfId="1" applyFont="1" applyBorder="1"/>
    <xf numFmtId="2" fontId="0" fillId="3" borderId="3" xfId="0" applyNumberFormat="1" applyFill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164" fontId="0" fillId="0" borderId="3" xfId="0" applyNumberFormat="1" applyBorder="1"/>
    <xf numFmtId="0" fontId="7" fillId="0" borderId="0" xfId="0" applyFont="1"/>
    <xf numFmtId="0" fontId="7" fillId="0" borderId="0" xfId="0" applyFont="1" applyAlignment="1">
      <alignment vertical="top"/>
    </xf>
    <xf numFmtId="2" fontId="6" fillId="0" borderId="0" xfId="0" applyNumberFormat="1" applyFont="1"/>
    <xf numFmtId="0" fontId="2" fillId="0" borderId="0" xfId="0" applyFont="1" applyAlignment="1">
      <alignment horizontal="right"/>
    </xf>
    <xf numFmtId="9" fontId="6" fillId="0" borderId="0" xfId="1" applyFont="1"/>
    <xf numFmtId="2" fontId="6" fillId="0" borderId="0" xfId="1" applyNumberFormat="1" applyFont="1"/>
    <xf numFmtId="2" fontId="0" fillId="0" borderId="0" xfId="0" applyNumberFormat="1" applyAlignment="1">
      <alignment horizontal="right"/>
    </xf>
    <xf numFmtId="10" fontId="6" fillId="0" borderId="0" xfId="1" applyNumberFormat="1" applyFont="1"/>
    <xf numFmtId="0" fontId="0" fillId="4" borderId="0" xfId="0" applyFill="1"/>
    <xf numFmtId="0" fontId="2" fillId="2" borderId="0" xfId="0" applyFont="1" applyFill="1"/>
    <xf numFmtId="0" fontId="8" fillId="2" borderId="0" xfId="0" applyFont="1" applyFill="1"/>
    <xf numFmtId="0" fontId="0" fillId="2" borderId="0" xfId="0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8918-9809-440A-8C44-6A4BD124EFA4}">
  <dimension ref="B2:P41"/>
  <sheetViews>
    <sheetView showGridLines="0" topLeftCell="A2" zoomScale="67" workbookViewId="0">
      <selection activeCell="V23" sqref="V23"/>
    </sheetView>
  </sheetViews>
  <sheetFormatPr defaultRowHeight="14.4" x14ac:dyDescent="0.3"/>
  <cols>
    <col min="1" max="1" width="1.88671875" customWidth="1"/>
    <col min="2" max="2" width="31.77734375" customWidth="1"/>
    <col min="3" max="3" width="9.6640625" customWidth="1"/>
    <col min="4" max="4" width="18.21875" bestFit="1" customWidth="1"/>
    <col min="5" max="5" width="13.21875" customWidth="1"/>
    <col min="6" max="6" width="12.33203125" bestFit="1" customWidth="1"/>
    <col min="8" max="8" width="13" customWidth="1"/>
    <col min="9" max="9" width="14.44140625" customWidth="1"/>
    <col min="10" max="10" width="11.33203125" customWidth="1"/>
    <col min="11" max="11" width="9.33203125" bestFit="1" customWidth="1"/>
    <col min="12" max="12" width="19.21875" bestFit="1" customWidth="1"/>
  </cols>
  <sheetData>
    <row r="2" spans="2:16" ht="18" x14ac:dyDescent="0.3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52"/>
      <c r="M2" s="52"/>
      <c r="N2" s="52"/>
      <c r="O2" s="52"/>
      <c r="P2" s="52"/>
    </row>
    <row r="4" spans="2:16" x14ac:dyDescent="0.3">
      <c r="B4" s="4" t="s">
        <v>1</v>
      </c>
    </row>
    <row r="6" spans="2:16" x14ac:dyDescent="0.3">
      <c r="B6" s="1" t="s">
        <v>2</v>
      </c>
    </row>
    <row r="7" spans="2:16" x14ac:dyDescent="0.3">
      <c r="B7" s="7"/>
      <c r="C7" s="7"/>
      <c r="D7" s="7"/>
      <c r="E7" s="8" t="s">
        <v>43</v>
      </c>
      <c r="F7" s="8" t="s">
        <v>43</v>
      </c>
      <c r="G7" s="7"/>
      <c r="H7" s="8" t="s">
        <v>9</v>
      </c>
      <c r="I7" s="8" t="s">
        <v>9</v>
      </c>
      <c r="J7" s="8" t="s">
        <v>12</v>
      </c>
      <c r="K7" s="8" t="s">
        <v>13</v>
      </c>
    </row>
    <row r="8" spans="2:16" ht="16.2" x14ac:dyDescent="0.3">
      <c r="B8" s="9" t="s">
        <v>3</v>
      </c>
      <c r="C8" s="9"/>
      <c r="D8" s="10" t="s">
        <v>4</v>
      </c>
      <c r="E8" s="10" t="s">
        <v>5</v>
      </c>
      <c r="F8" s="10" t="s">
        <v>6</v>
      </c>
      <c r="G8" s="10" t="s">
        <v>8</v>
      </c>
      <c r="H8" s="10" t="s">
        <v>10</v>
      </c>
      <c r="I8" s="10" t="s">
        <v>11</v>
      </c>
      <c r="J8" s="10" t="s">
        <v>14</v>
      </c>
      <c r="K8" s="10" t="s">
        <v>15</v>
      </c>
    </row>
    <row r="9" spans="2:16" x14ac:dyDescent="0.3">
      <c r="B9" s="6"/>
      <c r="C9" s="6"/>
      <c r="D9" s="5"/>
      <c r="E9" s="5"/>
      <c r="F9" s="5"/>
      <c r="G9" s="5"/>
    </row>
    <row r="10" spans="2:16" x14ac:dyDescent="0.3">
      <c r="B10" s="11" t="s">
        <v>44</v>
      </c>
      <c r="C10" s="11"/>
      <c r="D10" s="12" t="s">
        <v>16</v>
      </c>
      <c r="E10" s="41">
        <v>11.4</v>
      </c>
      <c r="F10" s="41">
        <v>297872.40000000002</v>
      </c>
      <c r="G10" s="18">
        <v>0.26</v>
      </c>
      <c r="H10" s="14">
        <f>E10/F10</f>
        <v>3.8271420917144387E-5</v>
      </c>
      <c r="I10" s="14">
        <f>E10/(E10+F10)</f>
        <v>3.8269956271539434E-5</v>
      </c>
      <c r="J10" s="15">
        <v>0.75</v>
      </c>
      <c r="K10" s="17">
        <f>J10/(1+(1-G10)*H10)</f>
        <v>0.74997875996292696</v>
      </c>
    </row>
    <row r="11" spans="2:16" x14ac:dyDescent="0.3">
      <c r="B11" s="11" t="s">
        <v>45</v>
      </c>
      <c r="C11" s="11"/>
      <c r="D11" s="12" t="s">
        <v>16</v>
      </c>
      <c r="E11" s="41">
        <v>58.89</v>
      </c>
      <c r="F11" s="41">
        <v>294584.03999999998</v>
      </c>
      <c r="G11" s="18">
        <v>0.26</v>
      </c>
      <c r="H11" s="14">
        <f t="shared" ref="H11:H14" si="0">E11/F11</f>
        <v>1.9990899710656425E-4</v>
      </c>
      <c r="I11" s="14">
        <f t="shared" ref="I11:I14" si="1">E11/(E11+F11)</f>
        <v>1.9986904148692794E-4</v>
      </c>
      <c r="J11" s="15">
        <v>0.82</v>
      </c>
      <c r="K11" s="17">
        <f>J11/(1+(1-G11)*H11)</f>
        <v>0.81987871316283989</v>
      </c>
    </row>
    <row r="12" spans="2:16" x14ac:dyDescent="0.3">
      <c r="B12" s="11" t="s">
        <v>46</v>
      </c>
      <c r="C12" s="11"/>
      <c r="D12" s="12" t="s">
        <v>16</v>
      </c>
      <c r="E12" s="41">
        <v>1.24</v>
      </c>
      <c r="F12" s="41">
        <v>54691.1</v>
      </c>
      <c r="G12" s="18">
        <v>0.26</v>
      </c>
      <c r="H12" s="14">
        <f t="shared" si="0"/>
        <v>2.267279319669928E-5</v>
      </c>
      <c r="I12" s="14">
        <f t="shared" si="1"/>
        <v>2.267227915280275E-5</v>
      </c>
      <c r="J12" s="15">
        <v>0.87</v>
      </c>
      <c r="K12" s="17">
        <f t="shared" ref="K12:K14" si="2">J12/(1+(1-G12)*H12)</f>
        <v>0.86998540350063813</v>
      </c>
    </row>
    <row r="13" spans="2:16" x14ac:dyDescent="0.3">
      <c r="B13" s="11" t="s">
        <v>47</v>
      </c>
      <c r="C13" s="11"/>
      <c r="D13" s="12" t="s">
        <v>16</v>
      </c>
      <c r="E13" s="41">
        <v>31.98</v>
      </c>
      <c r="F13" s="41">
        <v>28670.080000000002</v>
      </c>
      <c r="G13" s="18">
        <v>0.26</v>
      </c>
      <c r="H13" s="14">
        <f t="shared" si="0"/>
        <v>1.1154485791459248E-3</v>
      </c>
      <c r="I13" s="14">
        <f t="shared" si="1"/>
        <v>1.1142057399364366E-3</v>
      </c>
      <c r="J13" s="15">
        <v>0.95</v>
      </c>
      <c r="K13" s="17">
        <f t="shared" si="2"/>
        <v>0.94921648638602962</v>
      </c>
    </row>
    <row r="14" spans="2:16" x14ac:dyDescent="0.3">
      <c r="B14" s="11" t="s">
        <v>48</v>
      </c>
      <c r="C14" s="11"/>
      <c r="D14" s="12" t="s">
        <v>16</v>
      </c>
      <c r="E14" s="41">
        <v>5.81</v>
      </c>
      <c r="F14" s="41">
        <v>15195.74</v>
      </c>
      <c r="G14" s="18">
        <v>0.26</v>
      </c>
      <c r="H14" s="14">
        <f t="shared" si="0"/>
        <v>3.8234399904183672E-4</v>
      </c>
      <c r="I14" s="14">
        <f t="shared" si="1"/>
        <v>3.8219786798056776E-4</v>
      </c>
      <c r="J14" s="15">
        <v>1.05</v>
      </c>
      <c r="K14" s="17">
        <f t="shared" si="2"/>
        <v>1.0497030027435323</v>
      </c>
    </row>
    <row r="15" spans="2:16" x14ac:dyDescent="0.3">
      <c r="B15" s="6"/>
      <c r="C15" s="6"/>
      <c r="D15" s="5"/>
      <c r="E15" s="5"/>
      <c r="F15" s="5"/>
      <c r="G15" s="5"/>
    </row>
    <row r="16" spans="2:16" x14ac:dyDescent="0.3">
      <c r="B16" s="6"/>
      <c r="C16" s="6"/>
      <c r="D16" s="5"/>
      <c r="E16" s="5"/>
      <c r="F16" s="23" t="s">
        <v>17</v>
      </c>
      <c r="G16" s="21">
        <f>AVERAGE(G10:G14)</f>
        <v>0.26</v>
      </c>
      <c r="H16" s="21">
        <f>AVERAGE(H10:H14)</f>
        <v>3.5172915788163388E-4</v>
      </c>
      <c r="I16" s="21">
        <f>AVERAGE(I10:I14)</f>
        <v>3.514429769656549E-4</v>
      </c>
      <c r="J16" s="25">
        <f>AVERAGE(J10:J14)</f>
        <v>0.8879999999999999</v>
      </c>
      <c r="K16" s="26">
        <f>AVERAGE(K10:K14)</f>
        <v>0.88775247315119332</v>
      </c>
    </row>
    <row r="17" spans="2:11" x14ac:dyDescent="0.3">
      <c r="B17" s="6"/>
      <c r="C17" s="6"/>
      <c r="D17" s="5"/>
      <c r="E17" s="5"/>
      <c r="F17" s="24" t="s">
        <v>18</v>
      </c>
      <c r="G17" s="22">
        <f>AVERAGE(G11:G15)</f>
        <v>0.26</v>
      </c>
      <c r="H17" s="22">
        <f t="shared" ref="H17:K17" si="3">AVERAGE(H11:H15)</f>
        <v>4.3009359212275625E-4</v>
      </c>
      <c r="I17" s="22">
        <f t="shared" si="3"/>
        <v>4.2973623213918375E-4</v>
      </c>
      <c r="J17" s="27">
        <f t="shared" si="3"/>
        <v>0.92249999999999988</v>
      </c>
      <c r="K17" s="27">
        <f t="shared" si="3"/>
        <v>0.92219590144825991</v>
      </c>
    </row>
    <row r="18" spans="2:11" x14ac:dyDescent="0.3">
      <c r="B18" s="6"/>
      <c r="C18" s="5"/>
      <c r="D18" s="5"/>
      <c r="E18" s="5"/>
      <c r="F18" s="5"/>
    </row>
    <row r="20" spans="2:11" x14ac:dyDescent="0.3">
      <c r="B20" s="32" t="s">
        <v>19</v>
      </c>
      <c r="C20" s="20"/>
      <c r="D20" s="20"/>
      <c r="E20" s="20"/>
      <c r="G20" s="32" t="s">
        <v>22</v>
      </c>
      <c r="H20" s="20"/>
      <c r="I20" s="20"/>
      <c r="J20" s="20"/>
      <c r="K20" s="20"/>
    </row>
    <row r="22" spans="2:11" x14ac:dyDescent="0.3">
      <c r="B22" t="s">
        <v>20</v>
      </c>
      <c r="E22" s="35">
        <v>7.0000000000000007E-2</v>
      </c>
      <c r="G22" t="s">
        <v>23</v>
      </c>
      <c r="K22" s="35">
        <v>6.4799999999999996E-2</v>
      </c>
    </row>
    <row r="23" spans="2:11" x14ac:dyDescent="0.3">
      <c r="B23" t="s">
        <v>7</v>
      </c>
      <c r="C23" s="34"/>
      <c r="E23" s="36">
        <v>0.26</v>
      </c>
      <c r="G23" t="s">
        <v>24</v>
      </c>
      <c r="K23" s="35">
        <v>7.46E-2</v>
      </c>
    </row>
    <row r="24" spans="2:11" ht="16.2" x14ac:dyDescent="0.3">
      <c r="B24" s="30" t="s">
        <v>21</v>
      </c>
      <c r="D24" s="30"/>
      <c r="E24" s="33">
        <f>E22*(1-E23)</f>
        <v>5.1800000000000006E-2</v>
      </c>
      <c r="G24" t="s">
        <v>26</v>
      </c>
      <c r="K24" s="16">
        <f>J17</f>
        <v>0.92249999999999988</v>
      </c>
    </row>
    <row r="25" spans="2:11" x14ac:dyDescent="0.3">
      <c r="G25" s="30" t="s">
        <v>22</v>
      </c>
      <c r="H25" s="30"/>
      <c r="I25" s="30"/>
      <c r="J25" s="30"/>
      <c r="K25" s="33">
        <f>K22+(K23*K24)</f>
        <v>0.13361849999999997</v>
      </c>
    </row>
    <row r="28" spans="2:11" x14ac:dyDescent="0.3">
      <c r="B28" s="32" t="s">
        <v>27</v>
      </c>
      <c r="C28" s="20"/>
      <c r="D28" s="20"/>
      <c r="E28" s="20"/>
      <c r="G28" s="32" t="s">
        <v>25</v>
      </c>
      <c r="H28" s="20"/>
      <c r="I28" s="20"/>
      <c r="J28" s="20"/>
      <c r="K28" s="20"/>
    </row>
    <row r="30" spans="2:11" x14ac:dyDescent="0.3">
      <c r="D30" s="19" t="s">
        <v>28</v>
      </c>
      <c r="E30" s="19" t="s">
        <v>29</v>
      </c>
      <c r="G30" t="s">
        <v>32</v>
      </c>
      <c r="K30" s="16">
        <f>K17</f>
        <v>0.92219590144825991</v>
      </c>
    </row>
    <row r="31" spans="2:11" x14ac:dyDescent="0.3">
      <c r="B31" t="s">
        <v>5</v>
      </c>
      <c r="C31" s="42">
        <f>SUM(E10:E14)</f>
        <v>109.32000000000001</v>
      </c>
      <c r="D31" s="13">
        <f>C31/$C$33</f>
        <v>1.5817741648993495E-4</v>
      </c>
      <c r="E31" s="35">
        <f>I17</f>
        <v>4.2973623213918375E-4</v>
      </c>
      <c r="G31" t="s">
        <v>33</v>
      </c>
      <c r="K31" s="28">
        <f>E35</f>
        <v>4.2992098476329351E-4</v>
      </c>
    </row>
    <row r="32" spans="2:11" x14ac:dyDescent="0.3">
      <c r="B32" t="s">
        <v>30</v>
      </c>
      <c r="C32" s="42">
        <f>SUM(F10:F14)</f>
        <v>691013.35999999987</v>
      </c>
      <c r="D32" s="13">
        <f>C32/$C$33</f>
        <v>0.99984182258351018</v>
      </c>
      <c r="E32" s="28">
        <f>E33-E31</f>
        <v>0.99957026376786084</v>
      </c>
      <c r="G32" t="s">
        <v>7</v>
      </c>
      <c r="K32" s="29">
        <f>E23</f>
        <v>0.26</v>
      </c>
    </row>
    <row r="33" spans="2:11" x14ac:dyDescent="0.3">
      <c r="B33" s="30" t="s">
        <v>31</v>
      </c>
      <c r="C33" s="43">
        <f>SUM(C31:C32)</f>
        <v>691122.67999999982</v>
      </c>
      <c r="D33" s="37">
        <f>C33/$C$33</f>
        <v>1</v>
      </c>
      <c r="E33" s="31">
        <f>D33</f>
        <v>1</v>
      </c>
      <c r="G33" s="30" t="s">
        <v>25</v>
      </c>
      <c r="H33" s="30"/>
      <c r="I33" s="30"/>
      <c r="J33" s="30"/>
      <c r="K33" s="40">
        <f>K30*(1+(1-K32)*K31)</f>
        <v>0.92248929026213033</v>
      </c>
    </row>
    <row r="35" spans="2:11" x14ac:dyDescent="0.3">
      <c r="B35" t="s">
        <v>34</v>
      </c>
      <c r="D35" s="38">
        <f>D31/D32</f>
        <v>1.5820244054326246E-4</v>
      </c>
      <c r="E35" s="38">
        <f>E31/E32</f>
        <v>4.2992098476329351E-4</v>
      </c>
      <c r="G35" s="32" t="s">
        <v>0</v>
      </c>
      <c r="H35" s="20"/>
      <c r="I35" s="20"/>
      <c r="J35" s="20"/>
      <c r="K35" s="20"/>
    </row>
    <row r="37" spans="2:11" x14ac:dyDescent="0.3">
      <c r="B37" s="44" t="s">
        <v>38</v>
      </c>
      <c r="J37" s="20" t="s">
        <v>36</v>
      </c>
      <c r="K37" s="39" t="s">
        <v>37</v>
      </c>
    </row>
    <row r="38" spans="2:11" x14ac:dyDescent="0.3">
      <c r="B38" s="45" t="s">
        <v>39</v>
      </c>
      <c r="G38" t="s">
        <v>35</v>
      </c>
      <c r="J38" s="28">
        <f>E24</f>
        <v>5.1800000000000006E-2</v>
      </c>
      <c r="K38" s="28">
        <f>E10/(E10+F10)</f>
        <v>3.8269956271539434E-5</v>
      </c>
    </row>
    <row r="39" spans="2:11" x14ac:dyDescent="0.3">
      <c r="B39" s="45" t="s">
        <v>40</v>
      </c>
      <c r="G39" t="s">
        <v>10</v>
      </c>
      <c r="J39" s="28">
        <f>K25</f>
        <v>0.13361849999999997</v>
      </c>
      <c r="K39" s="28">
        <f>F10/(F10+E10)</f>
        <v>0.99996173004372835</v>
      </c>
    </row>
    <row r="40" spans="2:11" x14ac:dyDescent="0.3">
      <c r="B40" s="45" t="s">
        <v>41</v>
      </c>
      <c r="G40" s="30" t="s">
        <v>0</v>
      </c>
      <c r="H40" s="30"/>
      <c r="I40" s="30"/>
      <c r="J40" s="30"/>
      <c r="K40" s="37">
        <f>SUMPRODUCT(J38:J39,K38:K39)</f>
        <v>0.13361536880958275</v>
      </c>
    </row>
    <row r="41" spans="2:11" x14ac:dyDescent="0.3">
      <c r="B41" s="4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8CFA-D403-4E1F-BAE9-9D24F5563114}">
  <dimension ref="B2:M28"/>
  <sheetViews>
    <sheetView showGridLines="0" tabSelected="1" zoomScale="81" workbookViewId="0">
      <selection activeCell="P12" sqref="P12"/>
    </sheetView>
  </sheetViews>
  <sheetFormatPr defaultRowHeight="14.4" x14ac:dyDescent="0.3"/>
  <cols>
    <col min="1" max="1" width="1.88671875" customWidth="1"/>
    <col min="2" max="2" width="25.6640625" customWidth="1"/>
    <col min="3" max="3" width="15.5546875" customWidth="1"/>
    <col min="4" max="4" width="13.77734375" customWidth="1"/>
    <col min="5" max="5" width="17.44140625" customWidth="1"/>
    <col min="6" max="6" width="12.21875" customWidth="1"/>
    <col min="7" max="7" width="11" customWidth="1"/>
    <col min="8" max="8" width="12.33203125" customWidth="1"/>
    <col min="9" max="9" width="14.88671875" customWidth="1"/>
    <col min="10" max="10" width="10.6640625" style="5" customWidth="1"/>
    <col min="11" max="11" width="25.77734375" customWidth="1"/>
    <col min="12" max="12" width="12.44140625" customWidth="1"/>
    <col min="13" max="13" width="19.109375" customWidth="1"/>
  </cols>
  <sheetData>
    <row r="2" spans="2:13" x14ac:dyDescent="0.3">
      <c r="B2" s="53" t="s">
        <v>62</v>
      </c>
      <c r="C2" s="54"/>
      <c r="D2" s="54"/>
      <c r="E2" s="3"/>
      <c r="F2" s="3"/>
      <c r="G2" s="3"/>
      <c r="H2" s="3"/>
      <c r="I2" s="3"/>
      <c r="J2" s="55"/>
      <c r="K2" s="3"/>
      <c r="L2" s="3"/>
      <c r="M2" s="3"/>
    </row>
    <row r="3" spans="2:13" ht="16.2" x14ac:dyDescent="0.3">
      <c r="C3" s="5" t="s">
        <v>60</v>
      </c>
      <c r="D3" s="47" t="s">
        <v>59</v>
      </c>
      <c r="E3" s="47" t="s">
        <v>66</v>
      </c>
      <c r="F3" s="47" t="s">
        <v>67</v>
      </c>
      <c r="G3" s="47" t="s">
        <v>7</v>
      </c>
      <c r="H3" s="47" t="s">
        <v>68</v>
      </c>
      <c r="I3" s="47" t="s">
        <v>69</v>
      </c>
      <c r="J3" s="47" t="s">
        <v>70</v>
      </c>
      <c r="K3" s="47" t="s">
        <v>72</v>
      </c>
      <c r="L3" s="47" t="s">
        <v>73</v>
      </c>
      <c r="M3" s="47" t="s">
        <v>74</v>
      </c>
    </row>
    <row r="4" spans="2:13" x14ac:dyDescent="0.3">
      <c r="B4" t="s">
        <v>61</v>
      </c>
      <c r="D4" s="49">
        <v>32105</v>
      </c>
      <c r="E4" s="51">
        <f>11351/32105</f>
        <v>0.35355863572652235</v>
      </c>
      <c r="F4" s="16">
        <f>E4*D4</f>
        <v>11351</v>
      </c>
      <c r="G4" s="28">
        <f>WACC!E23</f>
        <v>0.26</v>
      </c>
      <c r="H4" s="16">
        <f>F4*(1-G4)</f>
        <v>8399.74</v>
      </c>
      <c r="I4" s="46">
        <v>1424</v>
      </c>
      <c r="J4" s="15">
        <v>1757</v>
      </c>
    </row>
    <row r="5" spans="2:13" x14ac:dyDescent="0.3">
      <c r="B5" t="s">
        <v>49</v>
      </c>
      <c r="C5" s="36">
        <v>0.09</v>
      </c>
      <c r="D5" s="16">
        <f>D4*(1+C5)</f>
        <v>34994.450000000004</v>
      </c>
      <c r="E5" s="13">
        <v>0.32500000000000001</v>
      </c>
      <c r="F5" s="16">
        <f t="shared" ref="F5:F15" si="0">E5*D5</f>
        <v>11373.196250000003</v>
      </c>
      <c r="G5" s="28">
        <f>G4</f>
        <v>0.26</v>
      </c>
      <c r="H5" s="16">
        <f t="shared" ref="H5:H15" si="1">F5*(1-G5)</f>
        <v>8416.1652250000025</v>
      </c>
      <c r="I5" s="16">
        <f>(I4/D4)*D5</f>
        <v>1552.16</v>
      </c>
      <c r="J5" s="50">
        <f>($J$4/$D$4)*D5</f>
        <v>1915.1300000000003</v>
      </c>
      <c r="K5" s="16">
        <f t="shared" ref="K5:K10" si="2">0.01*(D5-D4)</f>
        <v>28.894500000000043</v>
      </c>
      <c r="L5" s="16">
        <f>H5+I5-J5-K5</f>
        <v>8024.3007250000019</v>
      </c>
      <c r="M5" s="16">
        <f>(L5/(1+$C$18))</f>
        <v>7078.5038257079868</v>
      </c>
    </row>
    <row r="6" spans="2:13" x14ac:dyDescent="0.3">
      <c r="B6" t="s">
        <v>50</v>
      </c>
      <c r="C6" s="36">
        <v>0.09</v>
      </c>
      <c r="D6" s="16">
        <f t="shared" ref="D6:D9" si="3">D5*(1+C6)</f>
        <v>38143.950500000006</v>
      </c>
      <c r="E6" s="13">
        <v>0.3</v>
      </c>
      <c r="F6" s="16">
        <f t="shared" si="0"/>
        <v>11443.185150000001</v>
      </c>
      <c r="G6" s="28">
        <f t="shared" ref="G6:G15" si="4">G5</f>
        <v>0.26</v>
      </c>
      <c r="H6" s="16">
        <f t="shared" si="1"/>
        <v>8467.9570110000004</v>
      </c>
      <c r="I6" s="16">
        <f>($I$4/$D$4)*D6</f>
        <v>1691.8544000000002</v>
      </c>
      <c r="J6" s="50">
        <f t="shared" ref="J6:J15" si="5">($J$4/$D$4)*D6</f>
        <v>2087.4917000000005</v>
      </c>
      <c r="K6" s="16">
        <f t="shared" si="2"/>
        <v>31.49500500000002</v>
      </c>
      <c r="L6" s="16">
        <f t="shared" ref="L6:L15" si="6">H6+I6-J6-K6</f>
        <v>8040.8247060000003</v>
      </c>
      <c r="M6" s="16">
        <f>(L6/(1+C18)^2)</f>
        <v>6257.0430647876528</v>
      </c>
    </row>
    <row r="7" spans="2:13" x14ac:dyDescent="0.3">
      <c r="B7" t="s">
        <v>51</v>
      </c>
      <c r="C7" s="36">
        <v>0.09</v>
      </c>
      <c r="D7" s="16">
        <f t="shared" si="3"/>
        <v>41576.906045000011</v>
      </c>
      <c r="E7" s="13">
        <v>0.28000000000000003</v>
      </c>
      <c r="F7" s="16">
        <f t="shared" si="0"/>
        <v>11641.533692600004</v>
      </c>
      <c r="G7" s="28">
        <f t="shared" si="4"/>
        <v>0.26</v>
      </c>
      <c r="H7" s="16">
        <f t="shared" si="1"/>
        <v>8614.7349325240029</v>
      </c>
      <c r="I7" s="16">
        <f t="shared" ref="I7:I15" si="7">($I$4/$D$4)*D7</f>
        <v>1844.1212960000003</v>
      </c>
      <c r="J7" s="50">
        <f t="shared" si="5"/>
        <v>2275.3659530000004</v>
      </c>
      <c r="K7" s="16">
        <f t="shared" si="2"/>
        <v>34.329555450000043</v>
      </c>
      <c r="L7" s="16">
        <f t="shared" si="6"/>
        <v>8149.1607200740036</v>
      </c>
      <c r="M7" s="16">
        <f>L7/(1+C18)^3</f>
        <v>5593.9130003158416</v>
      </c>
    </row>
    <row r="8" spans="2:13" x14ac:dyDescent="0.3">
      <c r="B8" t="s">
        <v>52</v>
      </c>
      <c r="C8" s="36">
        <v>0.09</v>
      </c>
      <c r="D8" s="16">
        <f t="shared" si="3"/>
        <v>45318.827589050015</v>
      </c>
      <c r="E8" s="13">
        <v>0.28000000000000003</v>
      </c>
      <c r="F8" s="16">
        <f t="shared" si="0"/>
        <v>12689.271724934006</v>
      </c>
      <c r="G8" s="28">
        <f t="shared" si="4"/>
        <v>0.26</v>
      </c>
      <c r="H8" s="16">
        <f t="shared" si="1"/>
        <v>9390.0610764511639</v>
      </c>
      <c r="I8" s="16">
        <f t="shared" si="7"/>
        <v>2010.0922126400005</v>
      </c>
      <c r="J8" s="50">
        <f t="shared" si="5"/>
        <v>2480.1488887700007</v>
      </c>
      <c r="K8" s="16">
        <f t="shared" si="2"/>
        <v>37.419215440500047</v>
      </c>
      <c r="L8" s="16">
        <f t="shared" si="6"/>
        <v>8882.5851848806615</v>
      </c>
      <c r="M8" s="16">
        <f>L8/(1+C18)^4</f>
        <v>5378.6895785888564</v>
      </c>
    </row>
    <row r="9" spans="2:13" x14ac:dyDescent="0.3">
      <c r="B9" t="s">
        <v>53</v>
      </c>
      <c r="C9" s="36">
        <v>0.09</v>
      </c>
      <c r="D9" s="16">
        <f t="shared" si="3"/>
        <v>49397.522072064523</v>
      </c>
      <c r="E9" s="13">
        <v>0.28000000000000003</v>
      </c>
      <c r="F9" s="16">
        <f t="shared" si="0"/>
        <v>13831.306180178068</v>
      </c>
      <c r="G9" s="28">
        <f t="shared" si="4"/>
        <v>0.26</v>
      </c>
      <c r="H9" s="16">
        <f t="shared" si="1"/>
        <v>10235.16657333177</v>
      </c>
      <c r="I9" s="16">
        <f t="shared" si="7"/>
        <v>2191.0005117776009</v>
      </c>
      <c r="J9" s="50">
        <f t="shared" si="5"/>
        <v>2703.3622887593015</v>
      </c>
      <c r="K9" s="16">
        <f t="shared" si="2"/>
        <v>40.786944830145075</v>
      </c>
      <c r="L9" s="16">
        <f t="shared" si="6"/>
        <v>9682.0178515199241</v>
      </c>
      <c r="M9" s="16">
        <f>L9/(1+C18)^5</f>
        <v>5171.7467864063919</v>
      </c>
    </row>
    <row r="10" spans="2:13" x14ac:dyDescent="0.3">
      <c r="B10" t="s">
        <v>54</v>
      </c>
      <c r="C10" s="36">
        <v>0.08</v>
      </c>
      <c r="D10" s="16">
        <f>D9*(1+C10)</f>
        <v>53349.323837829688</v>
      </c>
      <c r="E10" s="13">
        <v>0.28000000000000003</v>
      </c>
      <c r="F10" s="16">
        <f t="shared" si="0"/>
        <v>14937.810674592314</v>
      </c>
      <c r="G10" s="28">
        <f t="shared" si="4"/>
        <v>0.26</v>
      </c>
      <c r="H10" s="16">
        <f t="shared" si="1"/>
        <v>11053.979899198312</v>
      </c>
      <c r="I10" s="16">
        <f t="shared" si="7"/>
        <v>2366.2805527198093</v>
      </c>
      <c r="J10" s="50">
        <f t="shared" si="5"/>
        <v>2919.6312718600457</v>
      </c>
      <c r="K10" s="16">
        <f t="shared" si="2"/>
        <v>39.518017657651654</v>
      </c>
      <c r="L10" s="16">
        <f t="shared" si="6"/>
        <v>10461.111162400422</v>
      </c>
      <c r="M10" s="16">
        <f>L10/(1+C18)^6</f>
        <v>4929.2797483352224</v>
      </c>
    </row>
    <row r="11" spans="2:13" x14ac:dyDescent="0.3">
      <c r="B11" t="s">
        <v>55</v>
      </c>
      <c r="C11" s="48">
        <v>7.0000000000000007E-2</v>
      </c>
      <c r="D11" s="16">
        <f t="shared" ref="D11:D14" si="8">D10*(1+C11)</f>
        <v>57083.77650647777</v>
      </c>
      <c r="E11" s="13">
        <v>0.28000000000000003</v>
      </c>
      <c r="F11" s="16">
        <f t="shared" si="0"/>
        <v>15983.457421813777</v>
      </c>
      <c r="G11" s="28">
        <f t="shared" si="4"/>
        <v>0.26</v>
      </c>
      <c r="H11" s="16">
        <f t="shared" si="1"/>
        <v>11827.758492142195</v>
      </c>
      <c r="I11" s="16">
        <f t="shared" si="7"/>
        <v>2531.9201914101959</v>
      </c>
      <c r="J11" s="50">
        <f t="shared" si="5"/>
        <v>3124.0054608902487</v>
      </c>
      <c r="K11" s="16">
        <f t="shared" ref="K11:K15" si="9">0.01*(D11-D10)</f>
        <v>37.344526686480826</v>
      </c>
      <c r="L11" s="16">
        <f t="shared" si="6"/>
        <v>11198.328695975662</v>
      </c>
      <c r="M11" s="16">
        <f>L11/(1+C18)^7</f>
        <v>4654.7154256281874</v>
      </c>
    </row>
    <row r="12" spans="2:13" x14ac:dyDescent="0.3">
      <c r="B12" t="s">
        <v>56</v>
      </c>
      <c r="C12" s="48">
        <v>0.06</v>
      </c>
      <c r="D12" s="16">
        <f t="shared" si="8"/>
        <v>60508.803096866439</v>
      </c>
      <c r="E12" s="13">
        <v>0.28000000000000003</v>
      </c>
      <c r="F12" s="16">
        <f t="shared" si="0"/>
        <v>16942.464867122606</v>
      </c>
      <c r="G12" s="28">
        <f t="shared" si="4"/>
        <v>0.26</v>
      </c>
      <c r="H12" s="16">
        <f t="shared" si="1"/>
        <v>12537.424001670728</v>
      </c>
      <c r="I12" s="16">
        <f t="shared" si="7"/>
        <v>2683.8354028948079</v>
      </c>
      <c r="J12" s="50">
        <f t="shared" si="5"/>
        <v>3311.4457885436641</v>
      </c>
      <c r="K12" s="16">
        <f t="shared" si="9"/>
        <v>34.250265903886685</v>
      </c>
      <c r="L12" s="16">
        <f t="shared" si="6"/>
        <v>11875.563350117984</v>
      </c>
      <c r="M12" s="16">
        <f>L12/(1+C18)^8</f>
        <v>4354.4009843272097</v>
      </c>
    </row>
    <row r="13" spans="2:13" x14ac:dyDescent="0.3">
      <c r="B13" t="s">
        <v>57</v>
      </c>
      <c r="C13" s="48">
        <v>0.05</v>
      </c>
      <c r="D13" s="16">
        <f t="shared" si="8"/>
        <v>63534.243251709762</v>
      </c>
      <c r="E13" s="13">
        <v>0.28000000000000003</v>
      </c>
      <c r="F13" s="16">
        <f t="shared" si="0"/>
        <v>17789.588110478737</v>
      </c>
      <c r="G13" s="28">
        <f t="shared" si="4"/>
        <v>0.26</v>
      </c>
      <c r="H13" s="16">
        <f t="shared" si="1"/>
        <v>13164.295201754265</v>
      </c>
      <c r="I13" s="16">
        <f t="shared" si="7"/>
        <v>2818.0271730395484</v>
      </c>
      <c r="J13" s="50">
        <f t="shared" si="5"/>
        <v>3477.0180779708471</v>
      </c>
      <c r="K13" s="16">
        <f t="shared" si="9"/>
        <v>30.254401548433236</v>
      </c>
      <c r="L13" s="16">
        <f t="shared" si="6"/>
        <v>12475.049895274535</v>
      </c>
      <c r="M13" s="16">
        <f>L13/(1+C18)^9</f>
        <v>4035.0671352436125</v>
      </c>
    </row>
    <row r="14" spans="2:13" x14ac:dyDescent="0.3">
      <c r="B14" t="s">
        <v>58</v>
      </c>
      <c r="C14" s="48">
        <v>0.04</v>
      </c>
      <c r="D14" s="16">
        <f t="shared" si="8"/>
        <v>66075.612981778162</v>
      </c>
      <c r="E14" s="13">
        <v>0.28000000000000003</v>
      </c>
      <c r="F14" s="16">
        <f t="shared" si="0"/>
        <v>18501.171634897888</v>
      </c>
      <c r="G14" s="28">
        <f t="shared" si="4"/>
        <v>0.26</v>
      </c>
      <c r="H14" s="16">
        <f t="shared" si="1"/>
        <v>13690.867009824437</v>
      </c>
      <c r="I14" s="16">
        <f t="shared" si="7"/>
        <v>2930.7482599611308</v>
      </c>
      <c r="J14" s="50">
        <f t="shared" si="5"/>
        <v>3616.0988010896817</v>
      </c>
      <c r="K14" s="16">
        <f t="shared" si="9"/>
        <v>25.413697300683999</v>
      </c>
      <c r="L14" s="16">
        <f t="shared" si="6"/>
        <v>12980.102771395203</v>
      </c>
      <c r="M14" s="16">
        <f>L14/(1+C18)^10</f>
        <v>3703.5727455233819</v>
      </c>
    </row>
    <row r="15" spans="2:13" x14ac:dyDescent="0.3">
      <c r="B15" t="s">
        <v>63</v>
      </c>
      <c r="C15" s="48">
        <v>0.04</v>
      </c>
      <c r="D15" s="16">
        <f>D14*(1+C15)</f>
        <v>68718.637501049292</v>
      </c>
      <c r="E15" s="13">
        <v>0.28000000000000003</v>
      </c>
      <c r="F15" s="16">
        <f t="shared" si="0"/>
        <v>19241.218500293802</v>
      </c>
      <c r="G15" s="28">
        <f t="shared" si="4"/>
        <v>0.26</v>
      </c>
      <c r="H15" s="16">
        <f t="shared" si="1"/>
        <v>14238.501690217414</v>
      </c>
      <c r="I15" s="16">
        <f t="shared" si="7"/>
        <v>3047.9781903595758</v>
      </c>
      <c r="J15" s="50">
        <f t="shared" si="5"/>
        <v>3760.7427531332692</v>
      </c>
      <c r="K15" s="16">
        <f t="shared" si="9"/>
        <v>26.4302451927113</v>
      </c>
      <c r="L15" s="16">
        <f t="shared" si="6"/>
        <v>13499.30688225101</v>
      </c>
    </row>
    <row r="17" spans="2:3" x14ac:dyDescent="0.3">
      <c r="B17" s="1" t="s">
        <v>64</v>
      </c>
      <c r="C17" s="29">
        <f>C15</f>
        <v>0.04</v>
      </c>
    </row>
    <row r="18" spans="2:3" x14ac:dyDescent="0.3">
      <c r="B18" s="1" t="s">
        <v>65</v>
      </c>
      <c r="C18" s="28">
        <f>WACC!K40</f>
        <v>0.13361536880958275</v>
      </c>
    </row>
    <row r="19" spans="2:3" x14ac:dyDescent="0.3">
      <c r="B19" t="s">
        <v>71</v>
      </c>
    </row>
    <row r="21" spans="2:3" x14ac:dyDescent="0.3">
      <c r="B21" s="1" t="s">
        <v>75</v>
      </c>
      <c r="C21" s="16">
        <f>(L14*(1+C17))/(C18-C17)</f>
        <v>144199.68701623255</v>
      </c>
    </row>
    <row r="22" spans="2:3" x14ac:dyDescent="0.3">
      <c r="B22" s="1" t="s">
        <v>76</v>
      </c>
      <c r="C22" s="16">
        <f>C21/(1+C18)^10</f>
        <v>41144.052566612801</v>
      </c>
    </row>
    <row r="23" spans="2:3" x14ac:dyDescent="0.3">
      <c r="B23" s="1" t="s">
        <v>77</v>
      </c>
      <c r="C23" s="16">
        <f>SUM(M5:M14)+C22</f>
        <v>92300.984861477133</v>
      </c>
    </row>
    <row r="24" spans="2:3" x14ac:dyDescent="0.3">
      <c r="B24" s="1" t="s">
        <v>78</v>
      </c>
      <c r="C24" s="16">
        <v>44471</v>
      </c>
    </row>
    <row r="25" spans="2:3" x14ac:dyDescent="0.3">
      <c r="B25" s="1" t="s">
        <v>35</v>
      </c>
      <c r="C25" s="16">
        <v>11.4</v>
      </c>
    </row>
    <row r="26" spans="2:3" x14ac:dyDescent="0.3">
      <c r="B26" s="1" t="s">
        <v>79</v>
      </c>
      <c r="C26" s="16">
        <f>C23+C24-C25</f>
        <v>136760.58486147714</v>
      </c>
    </row>
    <row r="27" spans="2:3" x14ac:dyDescent="0.3">
      <c r="B27" s="1" t="s">
        <v>80</v>
      </c>
      <c r="C27">
        <v>66.88</v>
      </c>
    </row>
    <row r="28" spans="2:3" x14ac:dyDescent="0.3">
      <c r="B28" s="53" t="s">
        <v>81</v>
      </c>
      <c r="C28" s="3">
        <f>C26/C27</f>
        <v>2044.865204268498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Bibek Nath</dc:creator>
  <cp:lastModifiedBy>Bibek Nath</cp:lastModifiedBy>
  <dcterms:created xsi:type="dcterms:W3CDTF">2025-08-31T13:31:35Z</dcterms:created>
  <dcterms:modified xsi:type="dcterms:W3CDTF">2025-12-30T18:31:30Z</dcterms:modified>
</cp:coreProperties>
</file>