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0592001ec4fca9/Desktop/"/>
    </mc:Choice>
  </mc:AlternateContent>
  <xr:revisionPtr revIDLastSave="9" documentId="13_ncr:1_{64A421C2-A236-4733-AA94-6C7DF5404D7C}" xr6:coauthVersionLast="47" xr6:coauthVersionMax="47" xr10:uidLastSave="{DD6EC09E-E1B6-4F2F-8C28-04388631345E}"/>
  <bookViews>
    <workbookView xWindow="-108" yWindow="-108" windowWidth="23256" windowHeight="12456" activeTab="1" xr2:uid="{D816EE92-1941-4EAA-9DFA-345648E5C6D0}"/>
  </bookViews>
  <sheets>
    <sheet name="WACC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9" i="1" l="1"/>
  <c r="K38" i="1"/>
  <c r="E31" i="1"/>
  <c r="C32" i="1"/>
  <c r="C33" i="1" s="1"/>
  <c r="D31" i="1" s="1"/>
  <c r="C31" i="1"/>
  <c r="K5" i="2"/>
  <c r="H4" i="2"/>
  <c r="C17" i="2"/>
  <c r="D5" i="2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F4" i="2"/>
  <c r="K32" i="1"/>
  <c r="E24" i="1"/>
  <c r="J38" i="1" s="1"/>
  <c r="J17" i="1"/>
  <c r="K24" i="1" s="1"/>
  <c r="K25" i="1" s="1"/>
  <c r="J39" i="1" s="1"/>
  <c r="G17" i="1"/>
  <c r="J16" i="1"/>
  <c r="G16" i="1"/>
  <c r="I14" i="1"/>
  <c r="H14" i="1"/>
  <c r="K14" i="1" s="1"/>
  <c r="I13" i="1"/>
  <c r="H13" i="1"/>
  <c r="K13" i="1" s="1"/>
  <c r="I12" i="1"/>
  <c r="H12" i="1"/>
  <c r="K12" i="1" s="1"/>
  <c r="I11" i="1"/>
  <c r="H11" i="1"/>
  <c r="K11" i="1" s="1"/>
  <c r="I10" i="1"/>
  <c r="I16" i="1" s="1"/>
  <c r="H10" i="1"/>
  <c r="H16" i="1" s="1"/>
  <c r="D6" i="2" l="1"/>
  <c r="D7" i="2" s="1"/>
  <c r="K7" i="2" s="1"/>
  <c r="K40" i="1"/>
  <c r="C18" i="2" s="1"/>
  <c r="I17" i="1"/>
  <c r="F5" i="2"/>
  <c r="H5" i="2" s="1"/>
  <c r="J6" i="2"/>
  <c r="K6" i="2"/>
  <c r="I5" i="2"/>
  <c r="J5" i="2"/>
  <c r="K17" i="1"/>
  <c r="K30" i="1" s="1"/>
  <c r="D32" i="1"/>
  <c r="D35" i="1" s="1"/>
  <c r="H17" i="1"/>
  <c r="D33" i="1"/>
  <c r="E33" i="1" s="1"/>
  <c r="K10" i="1"/>
  <c r="K16" i="1" s="1"/>
  <c r="D8" i="2" l="1"/>
  <c r="I6" i="2"/>
  <c r="F7" i="2"/>
  <c r="H7" i="2" s="1"/>
  <c r="I7" i="2"/>
  <c r="J7" i="2"/>
  <c r="F6" i="2"/>
  <c r="H6" i="2" s="1"/>
  <c r="E32" i="1"/>
  <c r="E35" i="1" s="1"/>
  <c r="K31" i="1" s="1"/>
  <c r="K33" i="1" s="1"/>
  <c r="L5" i="2"/>
  <c r="M5" i="2" s="1"/>
  <c r="D9" i="2"/>
  <c r="K8" i="2"/>
  <c r="J8" i="2"/>
  <c r="I8" i="2"/>
  <c r="F8" i="2"/>
  <c r="H8" i="2" s="1"/>
  <c r="L6" i="2" l="1"/>
  <c r="M6" i="2" s="1"/>
  <c r="L7" i="2"/>
  <c r="M7" i="2" s="1"/>
  <c r="L8" i="2"/>
  <c r="M8" i="2" s="1"/>
  <c r="K9" i="2"/>
  <c r="J9" i="2"/>
  <c r="I9" i="2"/>
  <c r="F9" i="2"/>
  <c r="H9" i="2" s="1"/>
  <c r="D10" i="2"/>
  <c r="L9" i="2" l="1"/>
  <c r="M9" i="2" s="1"/>
  <c r="D11" i="2"/>
  <c r="J10" i="2"/>
  <c r="I10" i="2"/>
  <c r="F10" i="2"/>
  <c r="H10" i="2" s="1"/>
  <c r="K10" i="2"/>
  <c r="L10" i="2" l="1"/>
  <c r="M10" i="2" s="1"/>
  <c r="D12" i="2"/>
  <c r="K11" i="2"/>
  <c r="J11" i="2"/>
  <c r="I11" i="2"/>
  <c r="F11" i="2"/>
  <c r="H11" i="2" s="1"/>
  <c r="L11" i="2" l="1"/>
  <c r="M11" i="2" s="1"/>
  <c r="D13" i="2"/>
  <c r="K12" i="2"/>
  <c r="F12" i="2"/>
  <c r="H12" i="2" s="1"/>
  <c r="J12" i="2"/>
  <c r="I12" i="2"/>
  <c r="L12" i="2" l="1"/>
  <c r="M12" i="2" s="1"/>
  <c r="K13" i="2"/>
  <c r="J13" i="2"/>
  <c r="F13" i="2"/>
  <c r="H13" i="2" s="1"/>
  <c r="I13" i="2"/>
  <c r="D14" i="2"/>
  <c r="D15" i="2" l="1"/>
  <c r="I14" i="2"/>
  <c r="F14" i="2"/>
  <c r="H14" i="2" s="1"/>
  <c r="K14" i="2"/>
  <c r="J14" i="2"/>
  <c r="L13" i="2"/>
  <c r="M13" i="2" s="1"/>
  <c r="L14" i="2" l="1"/>
  <c r="F15" i="2"/>
  <c r="H15" i="2" s="1"/>
  <c r="K15" i="2"/>
  <c r="I15" i="2"/>
  <c r="J15" i="2"/>
  <c r="L15" i="2" l="1"/>
  <c r="M14" i="2"/>
  <c r="C21" i="2"/>
  <c r="C22" i="2" s="1"/>
  <c r="C23" i="2" s="1"/>
  <c r="C26" i="2" s="1"/>
  <c r="C28" i="2" s="1"/>
</calcChain>
</file>

<file path=xl/sharedStrings.xml><?xml version="1.0" encoding="utf-8"?>
<sst xmlns="http://schemas.openxmlformats.org/spreadsheetml/2006/main" count="97" uniqueCount="82">
  <si>
    <t>Weighted Average Cost of Capital</t>
  </si>
  <si>
    <t>All Figures are in INR unless stated otherwise.</t>
  </si>
  <si>
    <t xml:space="preserve">Peer Comps </t>
  </si>
  <si>
    <t>Rs Cr.</t>
  </si>
  <si>
    <t>Debt/</t>
  </si>
  <si>
    <t>Levered</t>
  </si>
  <si>
    <t>Unlevered</t>
  </si>
  <si>
    <t>Name of the Comp</t>
  </si>
  <si>
    <t>Country</t>
  </si>
  <si>
    <t>Total Debt</t>
  </si>
  <si>
    <t>Total Equity</t>
  </si>
  <si>
    <r>
      <t>Tax Rate</t>
    </r>
    <r>
      <rPr>
        <vertAlign val="superscript"/>
        <sz val="11"/>
        <color theme="1"/>
        <rFont val="Calibri"/>
        <family val="2"/>
      </rPr>
      <t>1</t>
    </r>
  </si>
  <si>
    <t>Equity</t>
  </si>
  <si>
    <t>Capital</t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</si>
  <si>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</si>
  <si>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</si>
  <si>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India</t>
  </si>
  <si>
    <t>Average</t>
  </si>
  <si>
    <t>Median</t>
  </si>
  <si>
    <t>Cost of Debt</t>
  </si>
  <si>
    <t>Cost of Equity</t>
  </si>
  <si>
    <t>Pre-Tax Cost of Debt</t>
  </si>
  <si>
    <t>Risk Free Rate</t>
  </si>
  <si>
    <t>Tax Rate</t>
  </si>
  <si>
    <t>Equity Risk Premium</t>
  </si>
  <si>
    <t>Post Tax Cost of Debt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</si>
  <si>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</si>
  <si>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Capital Structure</t>
  </si>
  <si>
    <t>Levered Beta</t>
  </si>
  <si>
    <t>Current</t>
  </si>
  <si>
    <t>Target</t>
  </si>
  <si>
    <t>Comps Median Unlevered Beta</t>
  </si>
  <si>
    <t>Target Debt/Equity</t>
  </si>
  <si>
    <t>Market Capitalization</t>
  </si>
  <si>
    <t>Total Capital</t>
  </si>
  <si>
    <t>Debt/Equity</t>
  </si>
  <si>
    <t>Notes:</t>
  </si>
  <si>
    <t>Total Cost</t>
  </si>
  <si>
    <t>Total Weight</t>
  </si>
  <si>
    <t>1. Tax Rate considered as Marginal Tax Rate for the country</t>
  </si>
  <si>
    <t>Debt</t>
  </si>
  <si>
    <t>2. Levered Beta is based on 5 year monthly data</t>
  </si>
  <si>
    <t>3. Unlevered Beta = Levered Beta/(1+(1-Tax Rate)*(Debt/Equity))</t>
  </si>
  <si>
    <t>4. Levered Beta = Unlevered Beta*(1+(1-Tax Rate)*(Debt/Equity))</t>
  </si>
  <si>
    <r>
      <t xml:space="preserve">Forecasting </t>
    </r>
    <r>
      <rPr>
        <i/>
        <sz val="11"/>
        <color theme="1"/>
        <rFont val="Calibri"/>
        <family val="2"/>
      </rPr>
      <t>(All figures are in INR (crores), unless stated otherwise)</t>
    </r>
  </si>
  <si>
    <r>
      <t>Growth Rate</t>
    </r>
    <r>
      <rPr>
        <vertAlign val="superscript"/>
        <sz val="11"/>
        <color theme="1"/>
        <rFont val="Calibri"/>
        <family val="2"/>
      </rPr>
      <t>1</t>
    </r>
  </si>
  <si>
    <t>Revenue</t>
  </si>
  <si>
    <t>EBIT Margin</t>
  </si>
  <si>
    <t>EBIT</t>
  </si>
  <si>
    <t>NOPAT</t>
  </si>
  <si>
    <t>Depreciation</t>
  </si>
  <si>
    <t>Capex</t>
  </si>
  <si>
    <t>Change in Working Capital</t>
  </si>
  <si>
    <t>FCFF</t>
  </si>
  <si>
    <t>Present Value of FCFF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</si>
  <si>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</si>
  <si>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</si>
  <si>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</si>
  <si>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</si>
  <si>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</si>
  <si>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</si>
  <si>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</si>
  <si>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</si>
  <si>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</si>
  <si>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</si>
  <si>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</si>
  <si>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Terminal Year</t>
  </si>
  <si>
    <t>Terminal Growth Rate</t>
  </si>
  <si>
    <t>WACC</t>
  </si>
  <si>
    <t>ΔWCt​=1%×(Revenuet​−Revenuet−1​)</t>
  </si>
  <si>
    <t>Terminal Value</t>
  </si>
  <si>
    <t>Present Value of Terminal Value</t>
  </si>
  <si>
    <t>Enterprise Value</t>
  </si>
  <si>
    <t>Cash &amp; Cash Equivalents</t>
  </si>
  <si>
    <t>Equity Value</t>
  </si>
  <si>
    <t>Larsen &amp; Toubro</t>
  </si>
  <si>
    <t>Rail Vikas</t>
  </si>
  <si>
    <t>NBCC</t>
  </si>
  <si>
    <t>IRB Infra Devi</t>
  </si>
  <si>
    <t>KEC International</t>
  </si>
  <si>
    <t>No. of Outstanding Shares</t>
  </si>
  <si>
    <t>Intrinsic 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</si>
</sst>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4"/>
      <color theme="1"/>
      <name val="Calibri"/>
      <family val="2"/>
    </font>
    <font>
      <i/>
      <sz val="10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0000FF"/>
      <name val="Calibri"/>
      <family val="2"/>
    </font>
    <font>
      <i/>
      <sz val="9"/>
      <color theme="1"/>
      <name val="Calibri"/>
      <family val="2"/>
    </font>
    <font>
      <i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4" fillId="2" borderId="0" xfId="0" applyFont="1" applyFill="1"/>
    <xf numFmtId="0" fontId="0" fillId="2" borderId="0" xfId="0" applyFill="1"/>
    <xf numFmtId="0" fontId="5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10" fontId="7" fillId="0" borderId="0" xfId="1" applyNumberFormat="1" applyFont="1" applyAlignment="1">
      <alignment horizontal="right"/>
    </xf>
    <xf numFmtId="10" fontId="0" fillId="3" borderId="0" xfId="1" applyNumberFormat="1" applyFont="1" applyFill="1"/>
    <xf numFmtId="2" fontId="7" fillId="0" borderId="0" xfId="0" applyNumberFormat="1" applyFont="1" applyAlignment="1">
      <alignment horizontal="right"/>
    </xf>
    <xf numFmtId="2" fontId="0" fillId="3" borderId="0" xfId="0" applyNumberFormat="1" applyFill="1"/>
    <xf numFmtId="0" fontId="2" fillId="0" borderId="1" xfId="0" applyFont="1" applyBorder="1" applyAlignment="1">
      <alignment horizontal="left"/>
    </xf>
    <xf numFmtId="10" fontId="0" fillId="0" borderId="1" xfId="0" applyNumberFormat="1" applyBorder="1" applyAlignment="1">
      <alignment horizontal="right"/>
    </xf>
    <xf numFmtId="2" fontId="0" fillId="0" borderId="1" xfId="1" applyNumberFormat="1" applyFon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2" fillId="0" borderId="2" xfId="0" applyFont="1" applyBorder="1" applyAlignment="1">
      <alignment horizontal="left"/>
    </xf>
    <xf numFmtId="10" fontId="0" fillId="0" borderId="2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10" fontId="7" fillId="0" borderId="0" xfId="0" applyNumberFormat="1" applyFont="1"/>
    <xf numFmtId="0" fontId="0" fillId="0" borderId="3" xfId="0" applyBorder="1"/>
    <xf numFmtId="9" fontId="7" fillId="0" borderId="0" xfId="0" applyNumberFormat="1" applyFont="1"/>
    <xf numFmtId="0" fontId="0" fillId="0" borderId="4" xfId="0" applyBorder="1"/>
    <xf numFmtId="10" fontId="0" fillId="3" borderId="4" xfId="0" applyNumberFormat="1" applyFill="1" applyBorder="1"/>
    <xf numFmtId="2" fontId="0" fillId="0" borderId="0" xfId="0" applyNumberFormat="1"/>
    <xf numFmtId="0" fontId="2" fillId="0" borderId="2" xfId="0" applyFont="1" applyBorder="1" applyAlignment="1">
      <alignment horizontal="right"/>
    </xf>
    <xf numFmtId="164" fontId="7" fillId="0" borderId="0" xfId="0" applyNumberFormat="1" applyFont="1"/>
    <xf numFmtId="10" fontId="0" fillId="0" borderId="0" xfId="1" applyNumberFormat="1" applyFont="1"/>
    <xf numFmtId="10" fontId="0" fillId="0" borderId="0" xfId="0" applyNumberFormat="1"/>
    <xf numFmtId="9" fontId="0" fillId="0" borderId="0" xfId="0" applyNumberFormat="1"/>
    <xf numFmtId="164" fontId="0" fillId="0" borderId="4" xfId="0" applyNumberFormat="1" applyBorder="1"/>
    <xf numFmtId="10" fontId="0" fillId="0" borderId="4" xfId="1" applyNumberFormat="1" applyFont="1" applyBorder="1"/>
    <xf numFmtId="10" fontId="0" fillId="0" borderId="4" xfId="0" applyNumberFormat="1" applyBorder="1"/>
    <xf numFmtId="2" fontId="0" fillId="3" borderId="4" xfId="0" applyNumberFormat="1" applyFill="1" applyBorder="1"/>
    <xf numFmtId="10" fontId="0" fillId="3" borderId="0" xfId="0" applyNumberFormat="1" applyFill="1"/>
    <xf numFmtId="0" fontId="8" fillId="0" borderId="0" xfId="0" applyFont="1"/>
    <xf numFmtId="9" fontId="0" fillId="0" borderId="2" xfId="1" applyFont="1" applyBorder="1"/>
    <xf numFmtId="0" fontId="8" fillId="0" borderId="0" xfId="0" applyFont="1" applyAlignment="1">
      <alignment vertical="top"/>
    </xf>
    <xf numFmtId="0" fontId="2" fillId="0" borderId="0" xfId="0" applyFont="1" applyAlignment="1">
      <alignment horizontal="right"/>
    </xf>
    <xf numFmtId="2" fontId="7" fillId="0" borderId="0" xfId="1" applyNumberFormat="1" applyFont="1"/>
    <xf numFmtId="10" fontId="7" fillId="0" borderId="0" xfId="1" applyNumberFormat="1" applyFont="1"/>
    <xf numFmtId="2" fontId="7" fillId="0" borderId="0" xfId="0" applyNumberFormat="1" applyFont="1"/>
    <xf numFmtId="2" fontId="0" fillId="0" borderId="0" xfId="0" applyNumberFormat="1" applyAlignment="1">
      <alignment horizontal="right"/>
    </xf>
    <xf numFmtId="9" fontId="7" fillId="0" borderId="0" xfId="1" applyFont="1"/>
    <xf numFmtId="165" fontId="7" fillId="0" borderId="0" xfId="1" applyNumberFormat="1" applyFont="1"/>
    <xf numFmtId="0" fontId="2" fillId="2" borderId="0" xfId="0" applyFont="1" applyFill="1"/>
    <xf numFmtId="0" fontId="3" fillId="2" borderId="0" xfId="0" applyFont="1" applyFill="1"/>
    <xf numFmtId="0" fontId="0" fillId="2" borderId="0" xfId="0" applyFill="1" applyAlignment="1">
      <alignment horizontal="right"/>
    </xf>
    <xf numFmtId="2" fontId="0" fillId="2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DDA4-3791-4E67-BDFD-9FFBA7B2CF91}">
  <dimension ref="B2:K41"/>
  <sheetViews>
    <sheetView showGridLines="0" zoomScale="63" workbookViewId="0">
      <selection activeCell="P22" sqref="P22"/>
    </sheetView>
  </sheetViews>
  <sheetFormatPr defaultRowHeight="14.4" x14ac:dyDescent="0.3"/>
  <cols>
    <col min="1" max="1" width="1.88671875" customWidth="1"/>
    <col min="2" max="2" width="46" bestFit="1" customWidth="1"/>
    <col min="3" max="3" width="10.109375" bestFit="1" customWidth="1"/>
    <col min="4" max="4" width="8.5546875" bestFit="1" customWidth="1"/>
    <col min="5" max="5" width="13.33203125" customWidth="1"/>
    <col min="6" max="6" width="10.6640625" bestFit="1" customWidth="1"/>
    <col min="7" max="7" width="30.44140625" bestFit="1" customWidth="1"/>
    <col min="8" max="8" width="10.5546875" customWidth="1"/>
    <col min="9" max="9" width="11.21875" customWidth="1"/>
    <col min="10" max="10" width="9.33203125" bestFit="1" customWidth="1"/>
    <col min="11" max="11" width="11.44140625" bestFit="1" customWidth="1"/>
  </cols>
  <sheetData>
    <row r="2" spans="2:11" ht="18" x14ac:dyDescent="0.3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4" spans="2:11" x14ac:dyDescent="0.3">
      <c r="B4" s="3" t="s">
        <v>1</v>
      </c>
    </row>
    <row r="6" spans="2:11" x14ac:dyDescent="0.3">
      <c r="B6" s="4" t="s">
        <v>2</v>
      </c>
    </row>
    <row r="7" spans="2:11" x14ac:dyDescent="0.3">
      <c r="B7" s="5"/>
      <c r="C7" s="5"/>
      <c r="D7" s="5"/>
      <c r="E7" s="6" t="s">
        <v>3</v>
      </c>
      <c r="F7" s="6" t="s">
        <v>3</v>
      </c>
      <c r="G7" s="5"/>
      <c r="H7" s="6" t="s">
        <v>4</v>
      </c>
      <c r="I7" s="6" t="s">
        <v>4</v>
      </c>
      <c r="J7" s="6" t="s">
        <v>5</v>
      </c>
      <c r="K7" s="6" t="s">
        <v>6</v>
      </c>
    </row>
    <row r="8" spans="2:11" ht="16.2" x14ac:dyDescent="0.3">
      <c r="B8" s="7" t="s">
        <v>7</v>
      </c>
      <c r="C8" s="7"/>
      <c r="D8" s="8" t="s">
        <v>8</v>
      </c>
      <c r="E8" s="8" t="s">
        <v>9</v>
      </c>
      <c r="F8" s="8" t="s">
        <v>10</v>
      </c>
      <c r="G8" s="8" t="s">
        <v>11</v>
      </c>
      <c r="H8" s="8" t="s">
        <v>12</v>
      </c>
      <c r="I8" s="8" t="s">
        <v>13</v>
      </c>
      <c r="J8" s="8" t="s">
        <v>14</v>
      </c>
      <c r="K8" s="8" t="s">
        <v>15</v>
      </c>
    </row>
    <row r="9" spans="2:11" x14ac:dyDescent="0.3">
      <c r="B9" s="9"/>
      <c r="C9" s="9"/>
      <c r="D9" s="10"/>
      <c r="E9" s="10"/>
      <c r="F9" s="10"/>
      <c r="G9" s="10"/>
    </row>
    <row r="10" spans="2:11" x14ac:dyDescent="0.3">
      <c r="B10" s="11" t="s">
        <v>75</v>
      </c>
      <c r="C10" s="11"/>
      <c r="D10" s="12" t="s">
        <v>16</v>
      </c>
      <c r="E10" s="13">
        <v>134001.13</v>
      </c>
      <c r="F10" s="13">
        <v>557557.38</v>
      </c>
      <c r="G10" s="14">
        <v>0.25</v>
      </c>
      <c r="H10" s="15">
        <f>E10/F10</f>
        <v>0.2403360350104235</v>
      </c>
      <c r="I10" s="15">
        <f>E10/(E10+F10)</f>
        <v>0.19376687303002027</v>
      </c>
      <c r="J10" s="16">
        <v>1.03</v>
      </c>
      <c r="K10" s="17">
        <f>J10/(1+(1-G10)*H10)</f>
        <v>0.87269496436772387</v>
      </c>
    </row>
    <row r="11" spans="2:11" x14ac:dyDescent="0.3">
      <c r="B11" s="11" t="s">
        <v>76</v>
      </c>
      <c r="C11" s="11"/>
      <c r="D11" s="12" t="s">
        <v>16</v>
      </c>
      <c r="E11" s="13">
        <v>4980.6899999999996</v>
      </c>
      <c r="F11" s="13">
        <v>72047.53</v>
      </c>
      <c r="G11" s="14">
        <v>0.25</v>
      </c>
      <c r="H11" s="15">
        <f t="shared" ref="H11:H14" si="0">E11/F11</f>
        <v>6.9130614193158316E-2</v>
      </c>
      <c r="I11" s="15">
        <f t="shared" ref="I11:I14" si="1">E11/(E11+F11)</f>
        <v>6.4660588028647159E-2</v>
      </c>
      <c r="J11" s="16">
        <v>1.44</v>
      </c>
      <c r="K11" s="17">
        <f>J11/(1+(1-G11)*H11)</f>
        <v>1.3690191490385761</v>
      </c>
    </row>
    <row r="12" spans="2:11" x14ac:dyDescent="0.3">
      <c r="B12" s="11" t="s">
        <v>77</v>
      </c>
      <c r="C12" s="11"/>
      <c r="D12" s="12" t="s">
        <v>16</v>
      </c>
      <c r="E12" s="13">
        <v>0.32</v>
      </c>
      <c r="F12" s="13">
        <v>31368.6</v>
      </c>
      <c r="G12" s="14">
        <v>0.25</v>
      </c>
      <c r="H12" s="15">
        <f t="shared" si="0"/>
        <v>1.0201284086634406E-5</v>
      </c>
      <c r="I12" s="15">
        <f t="shared" si="1"/>
        <v>1.0201180021498987E-5</v>
      </c>
      <c r="J12" s="16">
        <v>0.87</v>
      </c>
      <c r="K12" s="17">
        <f t="shared" ref="K12:K14" si="2">J12/(1+(1-G12)*H12)</f>
        <v>0.86999334371306059</v>
      </c>
    </row>
    <row r="13" spans="2:11" x14ac:dyDescent="0.3">
      <c r="B13" s="11" t="s">
        <v>78</v>
      </c>
      <c r="C13" s="11"/>
      <c r="D13" s="12" t="s">
        <v>16</v>
      </c>
      <c r="E13" s="13">
        <v>20851.580000000002</v>
      </c>
      <c r="F13" s="13">
        <v>25653.67</v>
      </c>
      <c r="G13" s="14">
        <v>0.25</v>
      </c>
      <c r="H13" s="15">
        <f t="shared" si="0"/>
        <v>0.81281079861088112</v>
      </c>
      <c r="I13" s="15">
        <f t="shared" si="1"/>
        <v>0.44837045279834004</v>
      </c>
      <c r="J13" s="16">
        <v>1.26</v>
      </c>
      <c r="K13" s="17">
        <f t="shared" si="2"/>
        <v>0.78279924213574148</v>
      </c>
    </row>
    <row r="14" spans="2:11" x14ac:dyDescent="0.3">
      <c r="B14" s="11" t="s">
        <v>79</v>
      </c>
      <c r="C14" s="11"/>
      <c r="D14" s="12" t="s">
        <v>16</v>
      </c>
      <c r="E14" s="13">
        <v>5308.03</v>
      </c>
      <c r="F14" s="13">
        <v>19765.32</v>
      </c>
      <c r="G14" s="14">
        <v>0.25</v>
      </c>
      <c r="H14" s="15">
        <f t="shared" si="0"/>
        <v>0.26855269735071324</v>
      </c>
      <c r="I14" s="15">
        <f t="shared" si="1"/>
        <v>0.2117000719887849</v>
      </c>
      <c r="J14" s="16">
        <v>1.41</v>
      </c>
      <c r="K14" s="17">
        <f t="shared" si="2"/>
        <v>1.1736165769528508</v>
      </c>
    </row>
    <row r="15" spans="2:11" x14ac:dyDescent="0.3">
      <c r="B15" s="9"/>
      <c r="C15" s="9"/>
      <c r="D15" s="10"/>
      <c r="E15" s="10"/>
      <c r="F15" s="10"/>
      <c r="G15" s="10"/>
    </row>
    <row r="16" spans="2:11" x14ac:dyDescent="0.3">
      <c r="B16" s="9"/>
      <c r="C16" s="9"/>
      <c r="D16" s="10"/>
      <c r="E16" s="10"/>
      <c r="F16" s="18" t="s">
        <v>17</v>
      </c>
      <c r="G16" s="19">
        <f>AVERAGE(G10:G14)</f>
        <v>0.25</v>
      </c>
      <c r="H16" s="19">
        <f>AVERAGE(H10:H14)</f>
        <v>0.2781680692898526</v>
      </c>
      <c r="I16" s="19">
        <f>AVERAGE(I10:I14)</f>
        <v>0.18370163740516277</v>
      </c>
      <c r="J16" s="20">
        <f>AVERAGE(J10:J14)</f>
        <v>1.202</v>
      </c>
      <c r="K16" s="21">
        <f>AVERAGE(K10:K14)</f>
        <v>1.0136246552415904</v>
      </c>
    </row>
    <row r="17" spans="2:11" x14ac:dyDescent="0.3">
      <c r="B17" s="9"/>
      <c r="C17" s="9"/>
      <c r="D17" s="10"/>
      <c r="E17" s="10"/>
      <c r="F17" s="22" t="s">
        <v>18</v>
      </c>
      <c r="G17" s="23">
        <f>AVERAGE(G11:G15)</f>
        <v>0.25</v>
      </c>
      <c r="H17" s="23">
        <f t="shared" ref="H17:K17" si="3">AVERAGE(H11:H15)</f>
        <v>0.28762607785970984</v>
      </c>
      <c r="I17" s="23">
        <f t="shared" si="3"/>
        <v>0.18118532849894842</v>
      </c>
      <c r="J17" s="24">
        <f t="shared" si="3"/>
        <v>1.2450000000000001</v>
      </c>
      <c r="K17" s="24">
        <f t="shared" si="3"/>
        <v>1.0488570779600572</v>
      </c>
    </row>
    <row r="18" spans="2:11" x14ac:dyDescent="0.3">
      <c r="B18" s="9"/>
      <c r="C18" s="10"/>
      <c r="D18" s="10"/>
      <c r="E18" s="10"/>
      <c r="F18" s="10"/>
    </row>
    <row r="20" spans="2:11" x14ac:dyDescent="0.3">
      <c r="B20" s="25" t="s">
        <v>19</v>
      </c>
      <c r="C20" s="26"/>
      <c r="D20" s="26"/>
      <c r="E20" s="26"/>
      <c r="G20" s="25" t="s">
        <v>20</v>
      </c>
      <c r="H20" s="26"/>
      <c r="I20" s="26"/>
      <c r="J20" s="26"/>
      <c r="K20" s="26"/>
    </row>
    <row r="22" spans="2:11" x14ac:dyDescent="0.3">
      <c r="B22" t="s">
        <v>21</v>
      </c>
      <c r="E22" s="27">
        <v>0.08</v>
      </c>
      <c r="G22" t="s">
        <v>22</v>
      </c>
      <c r="K22" s="27">
        <v>6.4799999999999996E-2</v>
      </c>
    </row>
    <row r="23" spans="2:11" x14ac:dyDescent="0.3">
      <c r="B23" t="s">
        <v>23</v>
      </c>
      <c r="C23" s="28"/>
      <c r="E23" s="29">
        <v>0.25</v>
      </c>
      <c r="G23" t="s">
        <v>24</v>
      </c>
      <c r="K23" s="27">
        <v>7.2599999999999998E-2</v>
      </c>
    </row>
    <row r="24" spans="2:11" ht="16.2" x14ac:dyDescent="0.3">
      <c r="B24" s="30" t="s">
        <v>25</v>
      </c>
      <c r="D24" s="30"/>
      <c r="E24" s="31">
        <f>E22*(1-E23)</f>
        <v>0.06</v>
      </c>
      <c r="G24" t="s">
        <v>26</v>
      </c>
      <c r="K24" s="32">
        <f>J17</f>
        <v>1.2450000000000001</v>
      </c>
    </row>
    <row r="25" spans="2:11" x14ac:dyDescent="0.3">
      <c r="G25" s="30" t="s">
        <v>20</v>
      </c>
      <c r="H25" s="30"/>
      <c r="I25" s="30"/>
      <c r="J25" s="30"/>
      <c r="K25" s="31">
        <f>K22+(K23*K24)</f>
        <v>0.15518700000000002</v>
      </c>
    </row>
    <row r="28" spans="2:11" x14ac:dyDescent="0.3">
      <c r="B28" s="25" t="s">
        <v>27</v>
      </c>
      <c r="C28" s="26"/>
      <c r="D28" s="26"/>
      <c r="E28" s="26"/>
      <c r="G28" s="25" t="s">
        <v>28</v>
      </c>
      <c r="H28" s="26"/>
      <c r="I28" s="26"/>
      <c r="J28" s="26"/>
      <c r="K28" s="26"/>
    </row>
    <row r="30" spans="2:11" x14ac:dyDescent="0.3">
      <c r="D30" s="33" t="s">
        <v>29</v>
      </c>
      <c r="E30" s="33" t="s">
        <v>30</v>
      </c>
      <c r="G30" t="s">
        <v>31</v>
      </c>
      <c r="K30" s="32">
        <f>K17</f>
        <v>1.0488570779600572</v>
      </c>
    </row>
    <row r="31" spans="2:11" x14ac:dyDescent="0.3">
      <c r="B31" t="s">
        <v>9</v>
      </c>
      <c r="C31" s="34">
        <f>SUM(E10:E14)</f>
        <v>165141.75000000003</v>
      </c>
      <c r="D31" s="35">
        <f>C31/$C$33</f>
        <v>0.18948394741801602</v>
      </c>
      <c r="E31" s="27">
        <f>I17</f>
        <v>0.18118532849894842</v>
      </c>
      <c r="G31" t="s">
        <v>32</v>
      </c>
      <c r="K31" s="36">
        <f>E35</f>
        <v>0.22127757941464257</v>
      </c>
    </row>
    <row r="32" spans="2:11" x14ac:dyDescent="0.3">
      <c r="B32" t="s">
        <v>33</v>
      </c>
      <c r="C32" s="34">
        <f>SUM(F10:F14)</f>
        <v>706392.5</v>
      </c>
      <c r="D32" s="35">
        <f>C32/$C$33</f>
        <v>0.810516052581984</v>
      </c>
      <c r="E32" s="36">
        <f>E33-E31</f>
        <v>0.81881467150105158</v>
      </c>
      <c r="G32" t="s">
        <v>23</v>
      </c>
      <c r="K32" s="37">
        <f>E23</f>
        <v>0.25</v>
      </c>
    </row>
    <row r="33" spans="2:11" x14ac:dyDescent="0.3">
      <c r="B33" s="30" t="s">
        <v>34</v>
      </c>
      <c r="C33" s="38">
        <f>SUM(C31:C32)</f>
        <v>871534.25</v>
      </c>
      <c r="D33" s="39">
        <f>C33/$C$33</f>
        <v>1</v>
      </c>
      <c r="E33" s="40">
        <f>D33</f>
        <v>1</v>
      </c>
      <c r="G33" s="30" t="s">
        <v>28</v>
      </c>
      <c r="H33" s="30"/>
      <c r="I33" s="30"/>
      <c r="J33" s="30"/>
      <c r="K33" s="41">
        <f>K30*(1+(1-K32)*K31)</f>
        <v>1.2229234944822445</v>
      </c>
    </row>
    <row r="35" spans="2:11" x14ac:dyDescent="0.3">
      <c r="B35" t="s">
        <v>35</v>
      </c>
      <c r="D35" s="42">
        <f>D31/D32</f>
        <v>0.2337818564041946</v>
      </c>
      <c r="E35" s="42">
        <f>E31/E32</f>
        <v>0.22127757941464257</v>
      </c>
      <c r="G35" s="25" t="s">
        <v>0</v>
      </c>
      <c r="H35" s="26"/>
      <c r="I35" s="26"/>
      <c r="J35" s="26"/>
      <c r="K35" s="26"/>
    </row>
    <row r="37" spans="2:11" x14ac:dyDescent="0.3">
      <c r="B37" s="43" t="s">
        <v>36</v>
      </c>
      <c r="J37" s="26" t="s">
        <v>37</v>
      </c>
      <c r="K37" s="44" t="s">
        <v>38</v>
      </c>
    </row>
    <row r="38" spans="2:11" x14ac:dyDescent="0.3">
      <c r="B38" s="45" t="s">
        <v>39</v>
      </c>
      <c r="G38" t="s">
        <v>40</v>
      </c>
      <c r="J38" s="36">
        <f>E24</f>
        <v>0.06</v>
      </c>
      <c r="K38" s="36">
        <f>E10/(E10+F10)</f>
        <v>0.19376687303002027</v>
      </c>
    </row>
    <row r="39" spans="2:11" x14ac:dyDescent="0.3">
      <c r="B39" s="45" t="s">
        <v>41</v>
      </c>
      <c r="G39" t="s">
        <v>12</v>
      </c>
      <c r="J39" s="36">
        <f>K25</f>
        <v>0.15518700000000002</v>
      </c>
      <c r="K39" s="36">
        <f>F10/(F10+E10)</f>
        <v>0.80623312696997973</v>
      </c>
    </row>
    <row r="40" spans="2:11" x14ac:dyDescent="0.3">
      <c r="B40" s="45" t="s">
        <v>42</v>
      </c>
      <c r="G40" s="30" t="s">
        <v>0</v>
      </c>
      <c r="H40" s="30"/>
      <c r="I40" s="30"/>
      <c r="J40" s="30"/>
      <c r="K40" s="39">
        <f>SUMPRODUCT(J38:J39,K38:K39)</f>
        <v>0.13674291265689148</v>
      </c>
    </row>
    <row r="41" spans="2:11" x14ac:dyDescent="0.3">
      <c r="B41" s="4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D3D5-AD71-44BD-8614-0C7ABBA1BCD1}">
  <dimension ref="B1:M28"/>
  <sheetViews>
    <sheetView showGridLines="0" tabSelected="1" zoomScale="77" workbookViewId="0">
      <selection activeCell="S25" sqref="S25"/>
    </sheetView>
  </sheetViews>
  <sheetFormatPr defaultRowHeight="14.4" x14ac:dyDescent="0.3"/>
  <cols>
    <col min="1" max="1" width="1.88671875" customWidth="1"/>
    <col min="2" max="2" width="38.21875" customWidth="1"/>
    <col min="3" max="3" width="27.109375" customWidth="1"/>
    <col min="4" max="4" width="12.44140625" customWidth="1"/>
    <col min="5" max="5" width="11.109375" bestFit="1" customWidth="1"/>
    <col min="6" max="6" width="9.5546875" bestFit="1" customWidth="1"/>
    <col min="8" max="8" width="9.5546875" bestFit="1" customWidth="1"/>
    <col min="9" max="9" width="11.6640625" bestFit="1" customWidth="1"/>
    <col min="11" max="11" width="23.44140625" bestFit="1" customWidth="1"/>
    <col min="12" max="12" width="9.5546875" bestFit="1" customWidth="1"/>
    <col min="13" max="13" width="19.21875" bestFit="1" customWidth="1"/>
  </cols>
  <sheetData>
    <row r="1" spans="2:13" x14ac:dyDescent="0.3">
      <c r="J1" s="10"/>
    </row>
    <row r="2" spans="2:13" x14ac:dyDescent="0.3">
      <c r="B2" s="53" t="s">
        <v>44</v>
      </c>
      <c r="C2" s="54"/>
      <c r="D2" s="54"/>
      <c r="E2" s="2"/>
      <c r="F2" s="2"/>
      <c r="G2" s="2"/>
      <c r="H2" s="2"/>
      <c r="I2" s="2"/>
      <c r="J2" s="55"/>
      <c r="K2" s="2"/>
      <c r="L2" s="2"/>
      <c r="M2" s="2"/>
    </row>
    <row r="3" spans="2:13" ht="16.2" x14ac:dyDescent="0.3">
      <c r="C3" s="10" t="s">
        <v>45</v>
      </c>
      <c r="D3" s="46" t="s">
        <v>46</v>
      </c>
      <c r="E3" s="46" t="s">
        <v>47</v>
      </c>
      <c r="F3" s="46" t="s">
        <v>48</v>
      </c>
      <c r="G3" s="46" t="s">
        <v>23</v>
      </c>
      <c r="H3" s="46" t="s">
        <v>49</v>
      </c>
      <c r="I3" s="46" t="s">
        <v>50</v>
      </c>
      <c r="J3" s="46" t="s">
        <v>51</v>
      </c>
      <c r="K3" s="46" t="s">
        <v>52</v>
      </c>
      <c r="L3" s="46" t="s">
        <v>53</v>
      </c>
      <c r="M3" s="46" t="s">
        <v>54</v>
      </c>
    </row>
    <row r="4" spans="2:13" x14ac:dyDescent="0.3">
      <c r="B4" t="s">
        <v>55</v>
      </c>
      <c r="D4" s="47">
        <v>270723</v>
      </c>
      <c r="E4" s="48">
        <v>0.127</v>
      </c>
      <c r="F4" s="32">
        <f>E4*D4</f>
        <v>34381.821000000004</v>
      </c>
      <c r="G4" s="36">
        <v>0.25</v>
      </c>
      <c r="H4" s="32">
        <f>F4*(1-G4)</f>
        <v>25786.365750000004</v>
      </c>
      <c r="I4" s="49">
        <v>4224</v>
      </c>
      <c r="J4" s="16">
        <v>3541</v>
      </c>
    </row>
    <row r="5" spans="2:13" x14ac:dyDescent="0.3">
      <c r="B5" t="s">
        <v>56</v>
      </c>
      <c r="C5" s="29">
        <v>0.12</v>
      </c>
      <c r="D5" s="32">
        <f>D4*(1+C5)</f>
        <v>303209.76</v>
      </c>
      <c r="E5" s="35">
        <v>0.13</v>
      </c>
      <c r="F5" s="32">
        <f t="shared" ref="F5:F15" si="0">E5*D5</f>
        <v>39417.268800000005</v>
      </c>
      <c r="G5" s="36">
        <f>G4</f>
        <v>0.25</v>
      </c>
      <c r="H5" s="32">
        <f t="shared" ref="H5:H15" si="1">F5*(1-G5)</f>
        <v>29562.951600000004</v>
      </c>
      <c r="I5" s="32">
        <f>(I4/D4)*D5</f>
        <v>4730.88</v>
      </c>
      <c r="J5" s="50">
        <f>($J$4/$D$4)*D5</f>
        <v>3965.92</v>
      </c>
      <c r="K5" s="32">
        <f>0.01*(D5-D4)</f>
        <v>324.8676000000001</v>
      </c>
      <c r="L5" s="32">
        <f>H5+I5-J5-K5</f>
        <v>30003.044000000005</v>
      </c>
      <c r="M5" s="32">
        <f>(L5/(1+$C$18))</f>
        <v>26393.869419316947</v>
      </c>
    </row>
    <row r="6" spans="2:13" x14ac:dyDescent="0.3">
      <c r="B6" t="s">
        <v>57</v>
      </c>
      <c r="C6" s="29">
        <v>0.11</v>
      </c>
      <c r="D6" s="32">
        <f t="shared" ref="D6:D9" si="2">D5*(1+C6)</f>
        <v>336562.83360000001</v>
      </c>
      <c r="E6" s="35">
        <v>0.13300000000000001</v>
      </c>
      <c r="F6" s="32">
        <f t="shared" si="0"/>
        <v>44762.856868800001</v>
      </c>
      <c r="G6" s="36">
        <f t="shared" ref="G6:G15" si="3">G5</f>
        <v>0.25</v>
      </c>
      <c r="H6" s="32">
        <f t="shared" si="1"/>
        <v>33572.142651599999</v>
      </c>
      <c r="I6" s="32">
        <f>($I$4/$D$4)*D6</f>
        <v>5251.2768000000005</v>
      </c>
      <c r="J6" s="50">
        <f t="shared" ref="J6:J15" si="4">($J$4/$D$4)*D6</f>
        <v>4402.1711999999998</v>
      </c>
      <c r="K6" s="32">
        <f t="shared" ref="K6:K15" si="5">0.01*(D6-D5)</f>
        <v>333.53073600000005</v>
      </c>
      <c r="L6" s="32">
        <f t="shared" ref="L6:L15" si="6">H6+I6-J6-K6</f>
        <v>34087.717515600001</v>
      </c>
      <c r="M6" s="32">
        <f>(L6/(1+C18)^2)</f>
        <v>26379.916218177441</v>
      </c>
    </row>
    <row r="7" spans="2:13" x14ac:dyDescent="0.3">
      <c r="B7" t="s">
        <v>58</v>
      </c>
      <c r="C7" s="29">
        <v>0.1</v>
      </c>
      <c r="D7" s="32">
        <f t="shared" si="2"/>
        <v>370219.11696000007</v>
      </c>
      <c r="E7" s="35">
        <v>0.13700000000000001</v>
      </c>
      <c r="F7" s="32">
        <f t="shared" si="0"/>
        <v>50720.019023520013</v>
      </c>
      <c r="G7" s="36">
        <f t="shared" si="3"/>
        <v>0.25</v>
      </c>
      <c r="H7" s="32">
        <f t="shared" si="1"/>
        <v>38040.014267640014</v>
      </c>
      <c r="I7" s="32">
        <f t="shared" ref="I7:I15" si="7">($I$4/$D$4)*D7</f>
        <v>5776.4044800000011</v>
      </c>
      <c r="J7" s="50">
        <f t="shared" si="4"/>
        <v>4842.3883200000009</v>
      </c>
      <c r="K7" s="32">
        <f t="shared" si="5"/>
        <v>336.5628336000006</v>
      </c>
      <c r="L7" s="32">
        <f t="shared" si="6"/>
        <v>38637.467594040012</v>
      </c>
      <c r="M7" s="32">
        <f>L7/(1+C18)^3</f>
        <v>26304.005602279569</v>
      </c>
    </row>
    <row r="8" spans="2:13" x14ac:dyDescent="0.3">
      <c r="B8" t="s">
        <v>59</v>
      </c>
      <c r="C8" s="29">
        <v>0.09</v>
      </c>
      <c r="D8" s="32">
        <f t="shared" si="2"/>
        <v>403538.83748640009</v>
      </c>
      <c r="E8" s="35">
        <v>0.14000000000000001</v>
      </c>
      <c r="F8" s="32">
        <f t="shared" si="0"/>
        <v>56495.437248096016</v>
      </c>
      <c r="G8" s="36">
        <f t="shared" si="3"/>
        <v>0.25</v>
      </c>
      <c r="H8" s="32">
        <f t="shared" si="1"/>
        <v>42371.577936072012</v>
      </c>
      <c r="I8" s="32">
        <f t="shared" si="7"/>
        <v>6296.2808832000019</v>
      </c>
      <c r="J8" s="50">
        <f t="shared" si="4"/>
        <v>5278.2032688000008</v>
      </c>
      <c r="K8" s="32">
        <f t="shared" si="5"/>
        <v>333.19720526400022</v>
      </c>
      <c r="L8" s="32">
        <f t="shared" si="6"/>
        <v>43056.458345208011</v>
      </c>
      <c r="M8" s="32">
        <f>L8/(1+C18)^4</f>
        <v>25786.314962977012</v>
      </c>
    </row>
    <row r="9" spans="2:13" x14ac:dyDescent="0.3">
      <c r="B9" t="s">
        <v>60</v>
      </c>
      <c r="C9" s="29">
        <v>0.08</v>
      </c>
      <c r="D9" s="32">
        <f t="shared" si="2"/>
        <v>435821.94448531215</v>
      </c>
      <c r="E9" s="35">
        <v>0.14299999999999999</v>
      </c>
      <c r="F9" s="32">
        <f t="shared" si="0"/>
        <v>62322.538061399631</v>
      </c>
      <c r="G9" s="36">
        <f t="shared" si="3"/>
        <v>0.25</v>
      </c>
      <c r="H9" s="32">
        <f t="shared" si="1"/>
        <v>46741.903546049725</v>
      </c>
      <c r="I9" s="32">
        <f t="shared" si="7"/>
        <v>6799.9833538560024</v>
      </c>
      <c r="J9" s="50">
        <f t="shared" si="4"/>
        <v>5700.4595303040014</v>
      </c>
      <c r="K9" s="32">
        <f t="shared" si="5"/>
        <v>322.83106998912058</v>
      </c>
      <c r="L9" s="32">
        <f t="shared" si="6"/>
        <v>47518.596299612604</v>
      </c>
      <c r="M9" s="32">
        <f>L9/(1+C18)^5</f>
        <v>25035.272754794278</v>
      </c>
    </row>
    <row r="10" spans="2:13" x14ac:dyDescent="0.3">
      <c r="B10" t="s">
        <v>61</v>
      </c>
      <c r="C10" s="29">
        <v>7.0000000000000007E-2</v>
      </c>
      <c r="D10" s="32">
        <f>D9*(1+C10)</f>
        <v>466329.48059928406</v>
      </c>
      <c r="E10" s="35">
        <v>0.14499999999999999</v>
      </c>
      <c r="F10" s="32">
        <f t="shared" si="0"/>
        <v>67617.774686896184</v>
      </c>
      <c r="G10" s="36">
        <f t="shared" si="3"/>
        <v>0.25</v>
      </c>
      <c r="H10" s="32">
        <f t="shared" si="1"/>
        <v>50713.331015172138</v>
      </c>
      <c r="I10" s="32">
        <f t="shared" si="7"/>
        <v>7275.9821886259233</v>
      </c>
      <c r="J10" s="50">
        <f t="shared" si="4"/>
        <v>6099.4916974252828</v>
      </c>
      <c r="K10" s="32">
        <f t="shared" si="5"/>
        <v>305.07536113971901</v>
      </c>
      <c r="L10" s="32">
        <f t="shared" si="6"/>
        <v>51584.746145233061</v>
      </c>
      <c r="M10" s="32">
        <f>L10/(1+C18)^6</f>
        <v>23908.248804991497</v>
      </c>
    </row>
    <row r="11" spans="2:13" x14ac:dyDescent="0.3">
      <c r="B11" t="s">
        <v>62</v>
      </c>
      <c r="C11" s="52">
        <v>6.5000000000000002E-2</v>
      </c>
      <c r="D11" s="32">
        <f t="shared" ref="D11:D14" si="8">D10*(1+C11)</f>
        <v>496640.89683823747</v>
      </c>
      <c r="E11" s="35">
        <v>0.14699999999999999</v>
      </c>
      <c r="F11" s="32">
        <f t="shared" si="0"/>
        <v>73006.211835220907</v>
      </c>
      <c r="G11" s="36">
        <f t="shared" si="3"/>
        <v>0.25</v>
      </c>
      <c r="H11" s="32">
        <f t="shared" si="1"/>
        <v>54754.658876415677</v>
      </c>
      <c r="I11" s="32">
        <f t="shared" si="7"/>
        <v>7748.9210308866077</v>
      </c>
      <c r="J11" s="50">
        <f t="shared" si="4"/>
        <v>6495.9586577579257</v>
      </c>
      <c r="K11" s="32">
        <f t="shared" si="5"/>
        <v>303.11416238953416</v>
      </c>
      <c r="L11" s="32">
        <f t="shared" si="6"/>
        <v>55704.507087154831</v>
      </c>
      <c r="M11" s="32">
        <f>L11/(1+C18)^7</f>
        <v>22711.956596116983</v>
      </c>
    </row>
    <row r="12" spans="2:13" x14ac:dyDescent="0.3">
      <c r="B12" t="s">
        <v>63</v>
      </c>
      <c r="C12" s="51">
        <v>0.06</v>
      </c>
      <c r="D12" s="32">
        <f t="shared" si="8"/>
        <v>526439.35064853169</v>
      </c>
      <c r="E12" s="35">
        <v>0.14799999999999999</v>
      </c>
      <c r="F12" s="32">
        <f t="shared" si="0"/>
        <v>77913.023895982682</v>
      </c>
      <c r="G12" s="36">
        <f t="shared" si="3"/>
        <v>0.25</v>
      </c>
      <c r="H12" s="32">
        <f t="shared" si="1"/>
        <v>58434.767921987012</v>
      </c>
      <c r="I12" s="32">
        <f t="shared" si="7"/>
        <v>8213.8562927398034</v>
      </c>
      <c r="J12" s="50">
        <f t="shared" si="4"/>
        <v>6885.7161772234003</v>
      </c>
      <c r="K12" s="32">
        <f t="shared" si="5"/>
        <v>297.98453810294217</v>
      </c>
      <c r="L12" s="32">
        <f t="shared" si="6"/>
        <v>59464.923499400473</v>
      </c>
      <c r="M12" s="32">
        <f>L12/(1+C18)^8</f>
        <v>21328.623268069499</v>
      </c>
    </row>
    <row r="13" spans="2:13" x14ac:dyDescent="0.3">
      <c r="B13" t="s">
        <v>64</v>
      </c>
      <c r="C13" s="52">
        <v>5.5E-2</v>
      </c>
      <c r="D13" s="32">
        <f t="shared" si="8"/>
        <v>555393.51493420091</v>
      </c>
      <c r="E13" s="35">
        <v>0.14899999999999999</v>
      </c>
      <c r="F13" s="32">
        <f t="shared" si="0"/>
        <v>82753.633725195934</v>
      </c>
      <c r="G13" s="36">
        <f t="shared" si="3"/>
        <v>0.25</v>
      </c>
      <c r="H13" s="32">
        <f t="shared" si="1"/>
        <v>62065.225293896947</v>
      </c>
      <c r="I13" s="32">
        <f t="shared" si="7"/>
        <v>8665.6183888404921</v>
      </c>
      <c r="J13" s="50">
        <f t="shared" si="4"/>
        <v>7264.4305669706873</v>
      </c>
      <c r="K13" s="32">
        <f t="shared" si="5"/>
        <v>289.54164285669219</v>
      </c>
      <c r="L13" s="32">
        <f t="shared" si="6"/>
        <v>63176.871472910061</v>
      </c>
      <c r="M13" s="32">
        <f>L13/(1+C18)^9</f>
        <v>19934.154474521827</v>
      </c>
    </row>
    <row r="14" spans="2:13" x14ac:dyDescent="0.3">
      <c r="B14" t="s">
        <v>65</v>
      </c>
      <c r="C14" s="51">
        <v>0.05</v>
      </c>
      <c r="D14" s="32">
        <f t="shared" si="8"/>
        <v>583163.19068091095</v>
      </c>
      <c r="E14" s="35">
        <v>0.15</v>
      </c>
      <c r="F14" s="32">
        <f t="shared" si="0"/>
        <v>87474.478602136645</v>
      </c>
      <c r="G14" s="36">
        <f t="shared" si="3"/>
        <v>0.25</v>
      </c>
      <c r="H14" s="32">
        <f t="shared" si="1"/>
        <v>65605.85895160248</v>
      </c>
      <c r="I14" s="32">
        <f t="shared" si="7"/>
        <v>9098.8993082825164</v>
      </c>
      <c r="J14" s="50">
        <f t="shared" si="4"/>
        <v>7627.6520953192212</v>
      </c>
      <c r="K14" s="32">
        <f t="shared" si="5"/>
        <v>277.69675746710038</v>
      </c>
      <c r="L14" s="32">
        <f t="shared" si="6"/>
        <v>66799.409407098676</v>
      </c>
      <c r="M14" s="32">
        <f>L14/(1+C18)^10</f>
        <v>18541.722252068728</v>
      </c>
    </row>
    <row r="15" spans="2:13" x14ac:dyDescent="0.3">
      <c r="B15" t="s">
        <v>66</v>
      </c>
      <c r="C15" s="51">
        <v>0.04</v>
      </c>
      <c r="D15" s="32">
        <f>D14*(1+C15)</f>
        <v>606489.71830814739</v>
      </c>
      <c r="E15" s="35">
        <v>0.15</v>
      </c>
      <c r="F15" s="32">
        <f t="shared" si="0"/>
        <v>90973.457746222106</v>
      </c>
      <c r="G15" s="36">
        <f t="shared" si="3"/>
        <v>0.25</v>
      </c>
      <c r="H15" s="32">
        <f t="shared" si="1"/>
        <v>68230.093309666583</v>
      </c>
      <c r="I15" s="32">
        <f t="shared" si="7"/>
        <v>9462.8552806138177</v>
      </c>
      <c r="J15" s="50">
        <f t="shared" si="4"/>
        <v>7932.7581791319908</v>
      </c>
      <c r="K15" s="32">
        <f t="shared" si="5"/>
        <v>233.26527627236442</v>
      </c>
      <c r="L15" s="32">
        <f t="shared" si="6"/>
        <v>69526.925134876044</v>
      </c>
    </row>
    <row r="16" spans="2:13" x14ac:dyDescent="0.3">
      <c r="J16" s="10"/>
    </row>
    <row r="17" spans="2:10" x14ac:dyDescent="0.3">
      <c r="B17" s="4" t="s">
        <v>67</v>
      </c>
      <c r="C17" s="37">
        <f>C15</f>
        <v>0.04</v>
      </c>
      <c r="J17" s="10"/>
    </row>
    <row r="18" spans="2:10" x14ac:dyDescent="0.3">
      <c r="B18" s="4" t="s">
        <v>68</v>
      </c>
      <c r="C18" s="36">
        <f>WACC!K40</f>
        <v>0.13674291265689148</v>
      </c>
      <c r="J18" s="10"/>
    </row>
    <row r="19" spans="2:10" x14ac:dyDescent="0.3">
      <c r="B19" t="s">
        <v>69</v>
      </c>
      <c r="J19" s="10"/>
    </row>
    <row r="20" spans="2:10" x14ac:dyDescent="0.3">
      <c r="J20" s="10"/>
    </row>
    <row r="21" spans="2:10" x14ac:dyDescent="0.3">
      <c r="B21" s="4" t="s">
        <v>70</v>
      </c>
      <c r="C21" s="32">
        <f>(L14*(1+C17))/(C18-C17)</f>
        <v>718103.10311588319</v>
      </c>
      <c r="J21" s="10"/>
    </row>
    <row r="22" spans="2:10" x14ac:dyDescent="0.3">
      <c r="B22" s="4" t="s">
        <v>71</v>
      </c>
      <c r="C22" s="32">
        <f>C21/(1+C18)^10</f>
        <v>199326.13782822492</v>
      </c>
      <c r="J22" s="10"/>
    </row>
    <row r="23" spans="2:10" x14ac:dyDescent="0.3">
      <c r="B23" s="4" t="s">
        <v>72</v>
      </c>
      <c r="C23" s="32">
        <f>SUM(M5:M14)+C22</f>
        <v>435650.2221815387</v>
      </c>
      <c r="J23" s="10"/>
    </row>
    <row r="24" spans="2:10" x14ac:dyDescent="0.3">
      <c r="B24" s="4" t="s">
        <v>73</v>
      </c>
      <c r="C24" s="32">
        <v>44471</v>
      </c>
      <c r="J24" s="10"/>
    </row>
    <row r="25" spans="2:10" x14ac:dyDescent="0.3">
      <c r="B25" s="4" t="s">
        <v>40</v>
      </c>
      <c r="C25" s="32">
        <v>11.4</v>
      </c>
      <c r="J25" s="10"/>
    </row>
    <row r="26" spans="2:10" x14ac:dyDescent="0.3">
      <c r="B26" s="4" t="s">
        <v>74</v>
      </c>
      <c r="C26" s="32">
        <f>C23+C24-C25</f>
        <v>480109.82218153868</v>
      </c>
      <c r="J26" s="10"/>
    </row>
    <row r="27" spans="2:10" x14ac:dyDescent="0.3">
      <c r="B27" s="4" t="s">
        <v>80</v>
      </c>
      <c r="C27" s="50">
        <v>137.5</v>
      </c>
      <c r="J27" s="10"/>
    </row>
    <row r="28" spans="2:10" x14ac:dyDescent="0.3">
      <c r="B28" s="53" t="s">
        <v>81</v>
      </c>
      <c r="C28" s="56">
        <f>C26/C27</f>
        <v>3491.7077976839178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WACC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Bibek Nath</dc:creator>
  <cp:lastModifiedBy>Bibek Nath</cp:lastModifiedBy>
  <dcterms:created xsi:type="dcterms:W3CDTF">2025-12-24T17:47:21Z</dcterms:created>
  <dcterms:modified xsi:type="dcterms:W3CDTF">2025-12-30T19:10:07Z</dcterms:modified>
</cp:coreProperties>
</file>